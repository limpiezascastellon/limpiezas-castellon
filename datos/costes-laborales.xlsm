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4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ivanrojasmonfort/Desktop/"/>
    </mc:Choice>
  </mc:AlternateContent>
  <xr:revisionPtr revIDLastSave="0" documentId="13_ncr:1_{A2A2A9E0-3E31-1D4F-88AA-0E0D8F2C3706}" xr6:coauthVersionLast="47" xr6:coauthVersionMax="47" xr10:uidLastSave="{00000000-0000-0000-0000-000000000000}"/>
  <bookViews>
    <workbookView xWindow="0" yWindow="660" windowWidth="30240" windowHeight="17520" xr2:uid="{00000000-000D-0000-FFFF-FFFF00000000}"/>
  </bookViews>
  <sheets>
    <sheet name="Panel Costes Laborales" sheetId="1" r:id="rId1"/>
    <sheet name="Costes_26" sheetId="5" state="hidden" r:id="rId2"/>
    <sheet name="Costes Netos_26" sheetId="6" state="hidden" r:id="rId3"/>
    <sheet name="Base cotización por meses" sheetId="7" state="hidden" r:id="rId4"/>
    <sheet name="Calendario Laboral 2026" sheetId="8" state="hidden" r:id="rId5"/>
  </sheets>
  <calcPr calcId="191029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47" i="8" l="1"/>
  <c r="X47" i="8"/>
  <c r="W47" i="8"/>
  <c r="V47" i="8"/>
  <c r="U47" i="8"/>
  <c r="T47" i="8"/>
  <c r="S47" i="8"/>
  <c r="Q47" i="8"/>
  <c r="P47" i="8"/>
  <c r="O47" i="8"/>
  <c r="N47" i="8"/>
  <c r="M47" i="8"/>
  <c r="L47" i="8"/>
  <c r="K47" i="8"/>
  <c r="I47" i="8"/>
  <c r="H47" i="8"/>
  <c r="G47" i="8"/>
  <c r="F47" i="8"/>
  <c r="E47" i="8"/>
  <c r="D47" i="8"/>
  <c r="C47" i="8"/>
  <c r="Y35" i="8"/>
  <c r="X35" i="8"/>
  <c r="W35" i="8"/>
  <c r="V35" i="8"/>
  <c r="U35" i="8"/>
  <c r="T35" i="8"/>
  <c r="S35" i="8"/>
  <c r="Q35" i="8"/>
  <c r="P35" i="8"/>
  <c r="O35" i="8"/>
  <c r="N35" i="8"/>
  <c r="M35" i="8"/>
  <c r="L35" i="8"/>
  <c r="K35" i="8"/>
  <c r="I35" i="8"/>
  <c r="H35" i="8"/>
  <c r="G35" i="8"/>
  <c r="F35" i="8"/>
  <c r="E35" i="8"/>
  <c r="D35" i="8"/>
  <c r="C35" i="8"/>
  <c r="T32" i="8"/>
  <c r="U32" i="8" s="1"/>
  <c r="V32" i="8" s="1"/>
  <c r="W32" i="8" s="1"/>
  <c r="X32" i="8" s="1"/>
  <c r="Y32" i="8" s="1"/>
  <c r="I32" i="8"/>
  <c r="Y24" i="8"/>
  <c r="X24" i="8"/>
  <c r="W24" i="8"/>
  <c r="V24" i="8"/>
  <c r="U24" i="8"/>
  <c r="T24" i="8"/>
  <c r="S24" i="8"/>
  <c r="Q24" i="8"/>
  <c r="P24" i="8"/>
  <c r="O24" i="8"/>
  <c r="N24" i="8"/>
  <c r="M24" i="8"/>
  <c r="L24" i="8"/>
  <c r="K24" i="8"/>
  <c r="I24" i="8"/>
  <c r="H24" i="8"/>
  <c r="G24" i="8"/>
  <c r="F24" i="8"/>
  <c r="E24" i="8"/>
  <c r="D24" i="8"/>
  <c r="C24" i="8"/>
  <c r="Y12" i="8"/>
  <c r="X12" i="8"/>
  <c r="W12" i="8"/>
  <c r="V12" i="8"/>
  <c r="U12" i="8"/>
  <c r="T12" i="8"/>
  <c r="S12" i="8"/>
  <c r="Q12" i="8"/>
  <c r="P12" i="8"/>
  <c r="O12" i="8"/>
  <c r="N12" i="8"/>
  <c r="M12" i="8"/>
  <c r="L12" i="8"/>
  <c r="K12" i="8"/>
  <c r="I12" i="8"/>
  <c r="H12" i="8"/>
  <c r="G12" i="8"/>
  <c r="F12" i="8"/>
  <c r="E12" i="8"/>
  <c r="D12" i="8"/>
  <c r="C12" i="8"/>
  <c r="C11" i="8"/>
  <c r="C13" i="8" s="1"/>
  <c r="C8" i="8"/>
  <c r="B89" i="7"/>
  <c r="B43" i="7"/>
  <c r="B88" i="7" s="1"/>
  <c r="B42" i="7"/>
  <c r="B87" i="7" s="1"/>
  <c r="B41" i="7"/>
  <c r="B86" i="7" s="1"/>
  <c r="B40" i="7"/>
  <c r="B85" i="7" s="1"/>
  <c r="B39" i="7"/>
  <c r="B84" i="7" s="1"/>
  <c r="B38" i="7"/>
  <c r="B83" i="7" s="1"/>
  <c r="B37" i="7"/>
  <c r="B82" i="7" s="1"/>
  <c r="B36" i="7"/>
  <c r="B81" i="7" s="1"/>
  <c r="B35" i="7"/>
  <c r="B80" i="7" s="1"/>
  <c r="B34" i="7"/>
  <c r="B79" i="7" s="1"/>
  <c r="B33" i="7"/>
  <c r="B78" i="7" s="1"/>
  <c r="B32" i="7"/>
  <c r="B77" i="7" s="1"/>
  <c r="B31" i="7"/>
  <c r="B76" i="7" s="1"/>
  <c r="B30" i="7"/>
  <c r="B75" i="7" s="1"/>
  <c r="B29" i="7"/>
  <c r="B74" i="7" s="1"/>
  <c r="B28" i="7"/>
  <c r="B73" i="7" s="1"/>
  <c r="B27" i="7"/>
  <c r="B72" i="7" s="1"/>
  <c r="B26" i="7"/>
  <c r="B71" i="7" s="1"/>
  <c r="B25" i="7"/>
  <c r="B70" i="7" s="1"/>
  <c r="B24" i="7"/>
  <c r="B69" i="7" s="1"/>
  <c r="B23" i="7"/>
  <c r="B68" i="7" s="1"/>
  <c r="B22" i="7"/>
  <c r="B67" i="7" s="1"/>
  <c r="B21" i="7"/>
  <c r="B66" i="7" s="1"/>
  <c r="B20" i="7"/>
  <c r="B65" i="7" s="1"/>
  <c r="B19" i="7"/>
  <c r="B64" i="7" s="1"/>
  <c r="B18" i="7"/>
  <c r="B63" i="7" s="1"/>
  <c r="B17" i="7"/>
  <c r="B62" i="7" s="1"/>
  <c r="B16" i="7"/>
  <c r="B61" i="7" s="1"/>
  <c r="B15" i="7"/>
  <c r="B60" i="7" s="1"/>
  <c r="B14" i="7"/>
  <c r="B59" i="7" s="1"/>
  <c r="B13" i="7"/>
  <c r="B58" i="7" s="1"/>
  <c r="B12" i="7"/>
  <c r="B57" i="7" s="1"/>
  <c r="B11" i="7"/>
  <c r="B56" i="7" s="1"/>
  <c r="B10" i="7"/>
  <c r="B55" i="7" s="1"/>
  <c r="B9" i="7"/>
  <c r="B54" i="7" s="1"/>
  <c r="B8" i="7"/>
  <c r="B53" i="7" s="1"/>
  <c r="B7" i="7"/>
  <c r="B52" i="7" s="1"/>
  <c r="D6" i="7"/>
  <c r="C6" i="7"/>
  <c r="B6" i="7"/>
  <c r="B51" i="7" s="1"/>
  <c r="G5" i="7"/>
  <c r="F5" i="7"/>
  <c r="E5" i="7"/>
  <c r="D5" i="7"/>
  <c r="C5" i="7"/>
  <c r="B5" i="7"/>
  <c r="U30" i="6"/>
  <c r="U12" i="6"/>
  <c r="U8" i="6"/>
  <c r="V8" i="6" s="1"/>
  <c r="E6" i="6" s="1"/>
  <c r="D6" i="6"/>
  <c r="D7" i="6" s="1"/>
  <c r="D8" i="6" s="1"/>
  <c r="D9" i="6" s="1"/>
  <c r="D10" i="6" s="1"/>
  <c r="D11" i="6" s="1"/>
  <c r="D12" i="6" s="1"/>
  <c r="D13" i="6" s="1"/>
  <c r="D14" i="6" s="1"/>
  <c r="D15" i="6" s="1"/>
  <c r="D16" i="6" s="1"/>
  <c r="D17" i="6" s="1"/>
  <c r="D18" i="6" s="1"/>
  <c r="D19" i="6" s="1"/>
  <c r="D20" i="6" s="1"/>
  <c r="D21" i="6" s="1"/>
  <c r="D22" i="6" s="1"/>
  <c r="D23" i="6" s="1"/>
  <c r="D24" i="6" s="1"/>
  <c r="D25" i="6" s="1"/>
  <c r="D26" i="6" s="1"/>
  <c r="D27" i="6" s="1"/>
  <c r="D28" i="6" s="1"/>
  <c r="D29" i="6" s="1"/>
  <c r="D30" i="6" s="1"/>
  <c r="D31" i="6" s="1"/>
  <c r="D32" i="6" s="1"/>
  <c r="D33" i="6" s="1"/>
  <c r="D34" i="6" s="1"/>
  <c r="D35" i="6" s="1"/>
  <c r="D36" i="6" s="1"/>
  <c r="D37" i="6" s="1"/>
  <c r="D38" i="6" s="1"/>
  <c r="D39" i="6" s="1"/>
  <c r="D40" i="6" s="1"/>
  <c r="D41" i="6" s="1"/>
  <c r="D42" i="6" s="1"/>
  <c r="D43" i="6" s="1"/>
  <c r="D44" i="6" s="1"/>
  <c r="C6" i="6"/>
  <c r="C7" i="6" s="1"/>
  <c r="C8" i="6" s="1"/>
  <c r="Q8" i="5"/>
  <c r="E6" i="5" s="1"/>
  <c r="D7" i="5"/>
  <c r="C7" i="5"/>
  <c r="P15" i="1"/>
  <c r="P14" i="1"/>
  <c r="P11" i="1"/>
  <c r="F23" i="1" s="1"/>
  <c r="K11" i="8" l="1"/>
  <c r="P12" i="1"/>
  <c r="P13" i="1" s="1"/>
  <c r="F25" i="1" s="1"/>
  <c r="E7" i="6"/>
  <c r="E8" i="6" s="1"/>
  <c r="G6" i="6"/>
  <c r="F6" i="6" s="1"/>
  <c r="C7" i="7"/>
  <c r="C8" i="5"/>
  <c r="D7" i="7"/>
  <c r="D8" i="5"/>
  <c r="C9" i="6"/>
  <c r="E7" i="5"/>
  <c r="G7" i="5" s="1"/>
  <c r="G7" i="7" s="1"/>
  <c r="G6" i="5"/>
  <c r="E6" i="7"/>
  <c r="D13" i="8"/>
  <c r="E13" i="8" s="1"/>
  <c r="F13" i="8" s="1"/>
  <c r="G13" i="8" s="1"/>
  <c r="H13" i="8" s="1"/>
  <c r="I13" i="8" s="1"/>
  <c r="C14" i="8" s="1"/>
  <c r="D14" i="8" s="1"/>
  <c r="E14" i="8" s="1"/>
  <c r="F14" i="8" s="1"/>
  <c r="G14" i="8" s="1"/>
  <c r="H14" i="8" s="1"/>
  <c r="I14" i="8" s="1"/>
  <c r="C15" i="8" s="1"/>
  <c r="D15" i="8" s="1"/>
  <c r="E15" i="8" s="1"/>
  <c r="F15" i="8" s="1"/>
  <c r="G15" i="8" s="1"/>
  <c r="H15" i="8" s="1"/>
  <c r="I15" i="8" s="1"/>
  <c r="C16" i="8" s="1"/>
  <c r="D16" i="8" s="1"/>
  <c r="E16" i="8" s="1"/>
  <c r="F16" i="8" s="1"/>
  <c r="G16" i="8" s="1"/>
  <c r="H16" i="8" s="1"/>
  <c r="I16" i="8" s="1"/>
  <c r="C17" i="8" s="1"/>
  <c r="D17" i="8" s="1"/>
  <c r="E17" i="8" s="1"/>
  <c r="F17" i="8" s="1"/>
  <c r="G17" i="8" s="1"/>
  <c r="H17" i="8" s="1"/>
  <c r="I17" i="8" s="1"/>
  <c r="C18" i="8" s="1"/>
  <c r="D18" i="8" s="1"/>
  <c r="E18" i="8" s="1"/>
  <c r="F18" i="8" s="1"/>
  <c r="G18" i="8" s="1"/>
  <c r="H18" i="8" s="1"/>
  <c r="I18" i="8" s="1"/>
  <c r="G7" i="6" l="1"/>
  <c r="F7" i="6" s="1"/>
  <c r="S11" i="8"/>
  <c r="K13" i="8"/>
  <c r="L13" i="8" s="1"/>
  <c r="M13" i="8" s="1"/>
  <c r="N13" i="8" s="1"/>
  <c r="O13" i="8" s="1"/>
  <c r="P13" i="8" s="1"/>
  <c r="Q13" i="8" s="1"/>
  <c r="K14" i="8" s="1"/>
  <c r="L14" i="8" s="1"/>
  <c r="M14" i="8" s="1"/>
  <c r="N14" i="8" s="1"/>
  <c r="O14" i="8" s="1"/>
  <c r="P14" i="8" s="1"/>
  <c r="Q14" i="8" s="1"/>
  <c r="K15" i="8" s="1"/>
  <c r="L15" i="8" s="1"/>
  <c r="M15" i="8" s="1"/>
  <c r="N15" i="8" s="1"/>
  <c r="O15" i="8" s="1"/>
  <c r="P15" i="8" s="1"/>
  <c r="Q15" i="8" s="1"/>
  <c r="K16" i="8" s="1"/>
  <c r="L16" i="8" s="1"/>
  <c r="M16" i="8" s="1"/>
  <c r="N16" i="8" s="1"/>
  <c r="O16" i="8" s="1"/>
  <c r="P16" i="8" s="1"/>
  <c r="Q16" i="8" s="1"/>
  <c r="K17" i="8" s="1"/>
  <c r="L17" i="8" s="1"/>
  <c r="M17" i="8" s="1"/>
  <c r="N17" i="8" s="1"/>
  <c r="O17" i="8" s="1"/>
  <c r="P17" i="8" s="1"/>
  <c r="Q17" i="8" s="1"/>
  <c r="K18" i="8" s="1"/>
  <c r="L18" i="8" s="1"/>
  <c r="M18" i="8" s="1"/>
  <c r="N18" i="8" s="1"/>
  <c r="O18" i="8" s="1"/>
  <c r="P18" i="8" s="1"/>
  <c r="Q18" i="8" s="1"/>
  <c r="F7" i="5"/>
  <c r="F7" i="7" s="1"/>
  <c r="C8" i="7"/>
  <c r="C9" i="5"/>
  <c r="F24" i="1"/>
  <c r="C10" i="6"/>
  <c r="E9" i="6"/>
  <c r="E10" i="6" s="1"/>
  <c r="E11" i="6" s="1"/>
  <c r="E12" i="6" s="1"/>
  <c r="E13" i="6" s="1"/>
  <c r="E14" i="6" s="1"/>
  <c r="E15" i="6" s="1"/>
  <c r="E16" i="6" s="1"/>
  <c r="E17" i="6" s="1"/>
  <c r="E18" i="6" s="1"/>
  <c r="E19" i="6" s="1"/>
  <c r="E20" i="6" s="1"/>
  <c r="E21" i="6" s="1"/>
  <c r="E22" i="6" s="1"/>
  <c r="E23" i="6" s="1"/>
  <c r="E24" i="6" s="1"/>
  <c r="E25" i="6" s="1"/>
  <c r="E26" i="6" s="1"/>
  <c r="E27" i="6" s="1"/>
  <c r="E28" i="6" s="1"/>
  <c r="E29" i="6" s="1"/>
  <c r="E30" i="6" s="1"/>
  <c r="E31" i="6" s="1"/>
  <c r="E32" i="6" s="1"/>
  <c r="E33" i="6" s="1"/>
  <c r="E34" i="6" s="1"/>
  <c r="E35" i="6" s="1"/>
  <c r="E36" i="6" s="1"/>
  <c r="E37" i="6" s="1"/>
  <c r="E38" i="6" s="1"/>
  <c r="E39" i="6" s="1"/>
  <c r="E40" i="6" s="1"/>
  <c r="E41" i="6" s="1"/>
  <c r="E42" i="6" s="1"/>
  <c r="E43" i="6" s="1"/>
  <c r="E44" i="6" s="1"/>
  <c r="G6" i="7"/>
  <c r="F6" i="5"/>
  <c r="G8" i="6"/>
  <c r="F8" i="6" s="1"/>
  <c r="E7" i="7"/>
  <c r="E8" i="5"/>
  <c r="D8" i="7"/>
  <c r="D9" i="5"/>
  <c r="H20" i="8" a="1"/>
  <c r="H7" i="7" l="1"/>
  <c r="H20" i="8"/>
  <c r="V15" i="6" s="1"/>
  <c r="G9" i="6"/>
  <c r="F9" i="6" s="1"/>
  <c r="S13" i="8"/>
  <c r="C23" i="8"/>
  <c r="C9" i="7"/>
  <c r="C10" i="5"/>
  <c r="D9" i="7"/>
  <c r="D10" i="5"/>
  <c r="E8" i="7"/>
  <c r="E9" i="5"/>
  <c r="G9" i="5" s="1"/>
  <c r="G9" i="7" s="1"/>
  <c r="F31" i="1"/>
  <c r="F6" i="7"/>
  <c r="H6" i="7" s="1"/>
  <c r="C11" i="6"/>
  <c r="G10" i="6"/>
  <c r="F10" i="6" s="1"/>
  <c r="G8" i="5"/>
  <c r="G8" i="7" s="1"/>
  <c r="P20" i="8" a="1"/>
  <c r="Q15" i="5" l="1"/>
  <c r="P20" i="8"/>
  <c r="K23" i="8"/>
  <c r="C25" i="8"/>
  <c r="T13" i="8"/>
  <c r="U13" i="8" s="1"/>
  <c r="V13" i="8" s="1"/>
  <c r="W13" i="8" s="1"/>
  <c r="X13" i="8" s="1"/>
  <c r="Y13" i="8" s="1"/>
  <c r="S14" i="8" s="1"/>
  <c r="T14" i="8" s="1"/>
  <c r="U14" i="8" s="1"/>
  <c r="V14" i="8" s="1"/>
  <c r="W14" i="8" s="1"/>
  <c r="X14" i="8" s="1"/>
  <c r="Y14" i="8" s="1"/>
  <c r="S15" i="8" s="1"/>
  <c r="T15" i="8" s="1"/>
  <c r="U15" i="8" s="1"/>
  <c r="V15" i="8" s="1"/>
  <c r="W15" i="8" s="1"/>
  <c r="X15" i="8" s="1"/>
  <c r="Y15" i="8" s="1"/>
  <c r="S16" i="8" s="1"/>
  <c r="T16" i="8" s="1"/>
  <c r="U16" i="8" s="1"/>
  <c r="V16" i="8" s="1"/>
  <c r="W16" i="8" s="1"/>
  <c r="X16" i="8" s="1"/>
  <c r="Y16" i="8" s="1"/>
  <c r="S17" i="8" s="1"/>
  <c r="T17" i="8" s="1"/>
  <c r="U17" i="8" s="1"/>
  <c r="V17" i="8" s="1"/>
  <c r="W17" i="8" s="1"/>
  <c r="X17" i="8" s="1"/>
  <c r="Y17" i="8" s="1"/>
  <c r="S18" i="8" s="1"/>
  <c r="T18" i="8" s="1"/>
  <c r="U18" i="8" s="1"/>
  <c r="V18" i="8" s="1"/>
  <c r="W18" i="8" s="1"/>
  <c r="X18" i="8" s="1"/>
  <c r="Y18" i="8" s="1"/>
  <c r="C10" i="7"/>
  <c r="C11" i="5"/>
  <c r="F8" i="5"/>
  <c r="D10" i="7"/>
  <c r="D11" i="5"/>
  <c r="F9" i="5"/>
  <c r="F9" i="7" s="1"/>
  <c r="G11" i="6"/>
  <c r="F11" i="6" s="1"/>
  <c r="C12" i="6"/>
  <c r="E9" i="7"/>
  <c r="E10" i="5"/>
  <c r="I40" i="7" l="1"/>
  <c r="I39" i="7"/>
  <c r="I44" i="7"/>
  <c r="I15" i="7"/>
  <c r="I6" i="7"/>
  <c r="C51" i="7" s="1"/>
  <c r="I18" i="7"/>
  <c r="I28" i="7"/>
  <c r="I7" i="7"/>
  <c r="C52" i="7" s="1"/>
  <c r="I29" i="7"/>
  <c r="I33" i="7"/>
  <c r="I16" i="7"/>
  <c r="I13" i="7"/>
  <c r="I32" i="7"/>
  <c r="I12" i="7"/>
  <c r="I25" i="7"/>
  <c r="I23" i="7"/>
  <c r="I19" i="7"/>
  <c r="I17" i="7"/>
  <c r="I42" i="7"/>
  <c r="I38" i="7"/>
  <c r="I37" i="7"/>
  <c r="I27" i="7"/>
  <c r="I10" i="7"/>
  <c r="I22" i="7"/>
  <c r="I24" i="7"/>
  <c r="I34" i="7"/>
  <c r="I20" i="7"/>
  <c r="I41" i="7"/>
  <c r="I8" i="7"/>
  <c r="I21" i="7"/>
  <c r="I30" i="7"/>
  <c r="I35" i="7"/>
  <c r="I43" i="7"/>
  <c r="I36" i="7"/>
  <c r="I11" i="7"/>
  <c r="I9" i="7"/>
  <c r="I14" i="7"/>
  <c r="I31" i="7"/>
  <c r="I26" i="7"/>
  <c r="H9" i="7"/>
  <c r="G10" i="5"/>
  <c r="G10" i="7" s="1"/>
  <c r="K25" i="8"/>
  <c r="S23" i="8"/>
  <c r="D25" i="8"/>
  <c r="E25" i="8" s="1"/>
  <c r="F25" i="8" s="1"/>
  <c r="G25" i="8" s="1"/>
  <c r="H25" i="8" s="1"/>
  <c r="I25" i="8" s="1"/>
  <c r="C26" i="8" s="1"/>
  <c r="D26" i="8" s="1"/>
  <c r="E26" i="8" s="1"/>
  <c r="F26" i="8" s="1"/>
  <c r="G26" i="8" s="1"/>
  <c r="H26" i="8" s="1"/>
  <c r="I26" i="8" s="1"/>
  <c r="C27" i="8" s="1"/>
  <c r="D27" i="8" s="1"/>
  <c r="E27" i="8" s="1"/>
  <c r="F27" i="8" s="1"/>
  <c r="G27" i="8" s="1"/>
  <c r="H27" i="8" s="1"/>
  <c r="I27" i="8" s="1"/>
  <c r="C28" i="8" s="1"/>
  <c r="D28" i="8" s="1"/>
  <c r="E28" i="8" s="1"/>
  <c r="F28" i="8" s="1"/>
  <c r="G28" i="8" s="1"/>
  <c r="H28" i="8" s="1"/>
  <c r="I28" i="8" s="1"/>
  <c r="C29" i="8" s="1"/>
  <c r="D29" i="8" s="1"/>
  <c r="E29" i="8" s="1"/>
  <c r="F29" i="8" s="1"/>
  <c r="G29" i="8" s="1"/>
  <c r="H29" i="8" s="1"/>
  <c r="I29" i="8" s="1"/>
  <c r="C32" i="8" s="1"/>
  <c r="D32" i="8" s="1"/>
  <c r="E32" i="8" s="1"/>
  <c r="F32" i="8" s="1"/>
  <c r="G32" i="8" s="1"/>
  <c r="Q16" i="5"/>
  <c r="V16" i="6"/>
  <c r="F8" i="7"/>
  <c r="H8" i="7" s="1"/>
  <c r="C11" i="7"/>
  <c r="C12" i="5"/>
  <c r="D11" i="7"/>
  <c r="D12" i="5"/>
  <c r="G12" i="6"/>
  <c r="F12" i="6" s="1"/>
  <c r="C13" i="6"/>
  <c r="E10" i="7"/>
  <c r="E11" i="5"/>
  <c r="G11" i="5" s="1"/>
  <c r="G11" i="7" s="1"/>
  <c r="X20" i="8" a="1"/>
  <c r="C54" i="7" l="1"/>
  <c r="X20" i="8"/>
  <c r="J33" i="7"/>
  <c r="J14" i="7"/>
  <c r="J8" i="7"/>
  <c r="D53" i="7" s="1"/>
  <c r="J40" i="7"/>
  <c r="J43" i="7"/>
  <c r="J37" i="7"/>
  <c r="J15" i="7"/>
  <c r="J11" i="7"/>
  <c r="J41" i="7"/>
  <c r="J28" i="7"/>
  <c r="J31" i="7"/>
  <c r="J16" i="7"/>
  <c r="J19" i="7"/>
  <c r="J29" i="7"/>
  <c r="J25" i="7"/>
  <c r="J23" i="7"/>
  <c r="J30" i="7"/>
  <c r="J20" i="7"/>
  <c r="J26" i="7"/>
  <c r="J34" i="7"/>
  <c r="J27" i="7"/>
  <c r="J38" i="7"/>
  <c r="J42" i="7"/>
  <c r="J6" i="7"/>
  <c r="D51" i="7" s="1"/>
  <c r="J12" i="7"/>
  <c r="J21" i="7"/>
  <c r="J32" i="7"/>
  <c r="J22" i="7"/>
  <c r="J18" i="7"/>
  <c r="J10" i="7"/>
  <c r="J39" i="7"/>
  <c r="J35" i="7"/>
  <c r="J44" i="7"/>
  <c r="J7" i="7"/>
  <c r="D52" i="7" s="1"/>
  <c r="J17" i="7"/>
  <c r="J36" i="7"/>
  <c r="J24" i="7"/>
  <c r="J13" i="7"/>
  <c r="J9" i="7"/>
  <c r="D54" i="7" s="1"/>
  <c r="O9" i="6" s="1"/>
  <c r="C34" i="8"/>
  <c r="S25" i="8"/>
  <c r="L25" i="8"/>
  <c r="M25" i="8" s="1"/>
  <c r="N25" i="8" s="1"/>
  <c r="O25" i="8" s="1"/>
  <c r="P25" i="8" s="1"/>
  <c r="Q25" i="8" s="1"/>
  <c r="K26" i="8" s="1"/>
  <c r="L26" i="8" s="1"/>
  <c r="M26" i="8" s="1"/>
  <c r="N26" i="8" s="1"/>
  <c r="O26" i="8" s="1"/>
  <c r="P26" i="8" s="1"/>
  <c r="Q26" i="8" s="1"/>
  <c r="K27" i="8" s="1"/>
  <c r="L27" i="8" s="1"/>
  <c r="M27" i="8" s="1"/>
  <c r="N27" i="8" s="1"/>
  <c r="O27" i="8" s="1"/>
  <c r="P27" i="8" s="1"/>
  <c r="Q27" i="8" s="1"/>
  <c r="K28" i="8" s="1"/>
  <c r="L28" i="8" s="1"/>
  <c r="M28" i="8" s="1"/>
  <c r="N28" i="8" s="1"/>
  <c r="O28" i="8" s="1"/>
  <c r="P28" i="8" s="1"/>
  <c r="Q28" i="8" s="1"/>
  <c r="K29" i="8" s="1"/>
  <c r="L29" i="8" s="1"/>
  <c r="M29" i="8" s="1"/>
  <c r="N29" i="8" s="1"/>
  <c r="O29" i="8" s="1"/>
  <c r="P29" i="8" s="1"/>
  <c r="Q29" i="8" s="1"/>
  <c r="K32" i="8" s="1"/>
  <c r="L32" i="8" s="1"/>
  <c r="M32" i="8" s="1"/>
  <c r="N32" i="8" s="1"/>
  <c r="O32" i="8" s="1"/>
  <c r="P32" i="8" s="1"/>
  <c r="Q32" i="8" s="1"/>
  <c r="F11" i="5"/>
  <c r="F11" i="7" s="1"/>
  <c r="F10" i="5"/>
  <c r="F10" i="7" s="1"/>
  <c r="H10" i="7" s="1"/>
  <c r="C53" i="7"/>
  <c r="G13" i="6"/>
  <c r="F13" i="6" s="1"/>
  <c r="C14" i="6"/>
  <c r="C13" i="5"/>
  <c r="C12" i="7"/>
  <c r="D12" i="7"/>
  <c r="D13" i="5"/>
  <c r="E11" i="7"/>
  <c r="E12" i="5"/>
  <c r="H31" i="8" a="1"/>
  <c r="J9" i="6" l="1"/>
  <c r="K9" i="5"/>
  <c r="M9" i="6"/>
  <c r="K9" i="6"/>
  <c r="I9" i="5"/>
  <c r="H9" i="6"/>
  <c r="M9" i="5"/>
  <c r="L9" i="6"/>
  <c r="H9" i="5"/>
  <c r="J9" i="5"/>
  <c r="P9" i="6"/>
  <c r="L9" i="5"/>
  <c r="Q9" i="6"/>
  <c r="N9" i="6"/>
  <c r="I9" i="6"/>
  <c r="H31" i="8"/>
  <c r="C55" i="7"/>
  <c r="D55" i="7"/>
  <c r="H10" i="6" s="1"/>
  <c r="H7" i="5"/>
  <c r="N7" i="6"/>
  <c r="I7" i="6"/>
  <c r="L7" i="6"/>
  <c r="K7" i="5"/>
  <c r="J7" i="5"/>
  <c r="I7" i="5"/>
  <c r="H7" i="6"/>
  <c r="K7" i="6"/>
  <c r="M7" i="6"/>
  <c r="Q7" i="6"/>
  <c r="L7" i="5"/>
  <c r="O7" i="6"/>
  <c r="J7" i="6"/>
  <c r="M7" i="5"/>
  <c r="P7" i="6"/>
  <c r="I6" i="6"/>
  <c r="P6" i="6"/>
  <c r="J6" i="5"/>
  <c r="K6" i="6"/>
  <c r="Q6" i="6"/>
  <c r="J6" i="6"/>
  <c r="L6" i="5"/>
  <c r="M6" i="5"/>
  <c r="I6" i="5"/>
  <c r="O6" i="6"/>
  <c r="N6" i="6"/>
  <c r="L6" i="6"/>
  <c r="H6" i="5"/>
  <c r="H6" i="6"/>
  <c r="M6" i="6"/>
  <c r="K6" i="5"/>
  <c r="K34" i="8"/>
  <c r="C36" i="8"/>
  <c r="T25" i="8"/>
  <c r="U25" i="8" s="1"/>
  <c r="V25" i="8" s="1"/>
  <c r="W25" i="8" s="1"/>
  <c r="X25" i="8" s="1"/>
  <c r="Y25" i="8" s="1"/>
  <c r="S26" i="8" s="1"/>
  <c r="T26" i="8" s="1"/>
  <c r="U26" i="8" s="1"/>
  <c r="V26" i="8" s="1"/>
  <c r="W26" i="8" s="1"/>
  <c r="X26" i="8" s="1"/>
  <c r="Y26" i="8" s="1"/>
  <c r="S27" i="8" s="1"/>
  <c r="T27" i="8" s="1"/>
  <c r="U27" i="8" s="1"/>
  <c r="V27" i="8" s="1"/>
  <c r="W27" i="8" s="1"/>
  <c r="X27" i="8" s="1"/>
  <c r="Y27" i="8" s="1"/>
  <c r="S28" i="8" s="1"/>
  <c r="T28" i="8" s="1"/>
  <c r="U28" i="8" s="1"/>
  <c r="V28" i="8" s="1"/>
  <c r="W28" i="8" s="1"/>
  <c r="X28" i="8" s="1"/>
  <c r="Y28" i="8" s="1"/>
  <c r="S29" i="8" s="1"/>
  <c r="T29" i="8" s="1"/>
  <c r="U29" i="8" s="1"/>
  <c r="V29" i="8" s="1"/>
  <c r="W29" i="8" s="1"/>
  <c r="X29" i="8" s="1"/>
  <c r="Y29" i="8" s="1"/>
  <c r="H11" i="7"/>
  <c r="V17" i="6"/>
  <c r="Q17" i="5"/>
  <c r="E12" i="7"/>
  <c r="E13" i="5"/>
  <c r="Q8" i="6"/>
  <c r="N8" i="6"/>
  <c r="M8" i="6"/>
  <c r="L8" i="6"/>
  <c r="M8" i="5"/>
  <c r="K8" i="6"/>
  <c r="I8" i="6"/>
  <c r="O8" i="6"/>
  <c r="L8" i="5"/>
  <c r="K8" i="5"/>
  <c r="P8" i="6"/>
  <c r="J8" i="5"/>
  <c r="J8" i="6"/>
  <c r="I8" i="5"/>
  <c r="H8" i="6"/>
  <c r="H8" i="5"/>
  <c r="C13" i="7"/>
  <c r="C14" i="5"/>
  <c r="D13" i="7"/>
  <c r="D14" i="5"/>
  <c r="G12" i="5"/>
  <c r="G12" i="7" s="1"/>
  <c r="C15" i="6"/>
  <c r="G14" i="6"/>
  <c r="F14" i="6" s="1"/>
  <c r="P31" i="8" a="1"/>
  <c r="P31" i="8" l="1"/>
  <c r="K10" i="6"/>
  <c r="M10" i="6"/>
  <c r="Q10" i="6"/>
  <c r="S9" i="6"/>
  <c r="N9" i="5"/>
  <c r="P10" i="6"/>
  <c r="O10" i="6"/>
  <c r="K10" i="5"/>
  <c r="N8" i="5"/>
  <c r="H10" i="5"/>
  <c r="I10" i="6"/>
  <c r="R9" i="6"/>
  <c r="L10" i="5"/>
  <c r="J10" i="6"/>
  <c r="S7" i="6"/>
  <c r="M10" i="5"/>
  <c r="J10" i="5"/>
  <c r="I10" i="5"/>
  <c r="N10" i="6"/>
  <c r="L10" i="6"/>
  <c r="D56" i="7"/>
  <c r="J11" i="5" s="1"/>
  <c r="K42" i="7"/>
  <c r="K39" i="7"/>
  <c r="K13" i="7"/>
  <c r="K22" i="7"/>
  <c r="K41" i="7"/>
  <c r="K32" i="7"/>
  <c r="K35" i="7"/>
  <c r="K38" i="7"/>
  <c r="K14" i="7"/>
  <c r="K33" i="7"/>
  <c r="K28" i="7"/>
  <c r="K37" i="7"/>
  <c r="K12" i="7"/>
  <c r="K30" i="7"/>
  <c r="K36" i="7"/>
  <c r="K23" i="7"/>
  <c r="K20" i="7"/>
  <c r="K25" i="7"/>
  <c r="K11" i="7"/>
  <c r="E56" i="7" s="1"/>
  <c r="K27" i="7"/>
  <c r="K15" i="7"/>
  <c r="K21" i="7"/>
  <c r="K9" i="7"/>
  <c r="E54" i="7" s="1"/>
  <c r="K19" i="7"/>
  <c r="K40" i="7"/>
  <c r="K18" i="7"/>
  <c r="K44" i="7"/>
  <c r="K26" i="7"/>
  <c r="K8" i="7"/>
  <c r="E53" i="7" s="1"/>
  <c r="K29" i="7"/>
  <c r="K43" i="7"/>
  <c r="K16" i="7"/>
  <c r="K34" i="7"/>
  <c r="K6" i="7"/>
  <c r="E51" i="7" s="1"/>
  <c r="K10" i="7"/>
  <c r="E55" i="7" s="1"/>
  <c r="K17" i="7"/>
  <c r="K31" i="7"/>
  <c r="K7" i="7"/>
  <c r="E52" i="7" s="1"/>
  <c r="K24" i="7"/>
  <c r="R6" i="6"/>
  <c r="N7" i="5"/>
  <c r="N6" i="5"/>
  <c r="R8" i="6"/>
  <c r="S6" i="6"/>
  <c r="R7" i="6"/>
  <c r="S8" i="6"/>
  <c r="D36" i="8"/>
  <c r="E36" i="8" s="1"/>
  <c r="F36" i="8" s="1"/>
  <c r="G36" i="8" s="1"/>
  <c r="H36" i="8" s="1"/>
  <c r="I36" i="8" s="1"/>
  <c r="C37" i="8" s="1"/>
  <c r="D37" i="8" s="1"/>
  <c r="E37" i="8" s="1"/>
  <c r="F37" i="8" s="1"/>
  <c r="G37" i="8" s="1"/>
  <c r="H37" i="8" s="1"/>
  <c r="I37" i="8" s="1"/>
  <c r="C38" i="8" s="1"/>
  <c r="D38" i="8" s="1"/>
  <c r="E38" i="8" s="1"/>
  <c r="F38" i="8" s="1"/>
  <c r="G38" i="8" s="1"/>
  <c r="H38" i="8" s="1"/>
  <c r="I38" i="8" s="1"/>
  <c r="C39" i="8" s="1"/>
  <c r="D39" i="8" s="1"/>
  <c r="E39" i="8" s="1"/>
  <c r="F39" i="8" s="1"/>
  <c r="G39" i="8" s="1"/>
  <c r="H39" i="8" s="1"/>
  <c r="I39" i="8" s="1"/>
  <c r="C40" i="8" s="1"/>
  <c r="D40" i="8" s="1"/>
  <c r="E40" i="8" s="1"/>
  <c r="F40" i="8" s="1"/>
  <c r="G40" i="8" s="1"/>
  <c r="H40" i="8" s="1"/>
  <c r="I40" i="8" s="1"/>
  <c r="C41" i="8" s="1"/>
  <c r="D41" i="8" s="1"/>
  <c r="E41" i="8" s="1"/>
  <c r="F41" i="8" s="1"/>
  <c r="G41" i="8" s="1"/>
  <c r="H41" i="8" s="1"/>
  <c r="I41" i="8" s="1"/>
  <c r="V18" i="6"/>
  <c r="Q18" i="5"/>
  <c r="C56" i="7"/>
  <c r="K36" i="8"/>
  <c r="S34" i="8"/>
  <c r="G15" i="6"/>
  <c r="F15" i="6" s="1"/>
  <c r="C16" i="6"/>
  <c r="E13" i="7"/>
  <c r="E14" i="5"/>
  <c r="C14" i="7"/>
  <c r="C15" i="5"/>
  <c r="D14" i="7"/>
  <c r="D15" i="5"/>
  <c r="F12" i="5"/>
  <c r="G13" i="5"/>
  <c r="G13" i="7" s="1"/>
  <c r="X31" i="8" a="1"/>
  <c r="V19" i="6" l="1"/>
  <c r="Q19" i="5"/>
  <c r="S10" i="6"/>
  <c r="R10" i="6"/>
  <c r="M11" i="5"/>
  <c r="K11" i="6"/>
  <c r="I11" i="5"/>
  <c r="M11" i="6"/>
  <c r="L11" i="5"/>
  <c r="O11" i="6"/>
  <c r="K11" i="5"/>
  <c r="H11" i="6"/>
  <c r="I11" i="6"/>
  <c r="H11" i="5"/>
  <c r="P11" i="6"/>
  <c r="J11" i="6"/>
  <c r="Q11" i="6"/>
  <c r="L11" i="6"/>
  <c r="N11" i="6"/>
  <c r="N10" i="5"/>
  <c r="X31" i="8"/>
  <c r="M34" i="7"/>
  <c r="M20" i="7"/>
  <c r="M36" i="7"/>
  <c r="M22" i="7"/>
  <c r="M35" i="7"/>
  <c r="M10" i="7"/>
  <c r="G55" i="7" s="1"/>
  <c r="M29" i="7"/>
  <c r="M25" i="7"/>
  <c r="M28" i="7"/>
  <c r="M27" i="7"/>
  <c r="M11" i="7"/>
  <c r="G56" i="7" s="1"/>
  <c r="L7" i="7"/>
  <c r="F52" i="7" s="1"/>
  <c r="L9" i="7"/>
  <c r="F54" i="7" s="1"/>
  <c r="L10" i="7"/>
  <c r="F55" i="7" s="1"/>
  <c r="L23" i="7"/>
  <c r="L39" i="7"/>
  <c r="L31" i="7"/>
  <c r="L20" i="7"/>
  <c r="L42" i="7"/>
  <c r="L35" i="7"/>
  <c r="L26" i="7"/>
  <c r="L32" i="7"/>
  <c r="L28" i="7"/>
  <c r="L16" i="7"/>
  <c r="L11" i="7"/>
  <c r="F56" i="7" s="1"/>
  <c r="L33" i="7"/>
  <c r="L15" i="7"/>
  <c r="L14" i="7"/>
  <c r="L34" i="7"/>
  <c r="L6" i="7"/>
  <c r="F51" i="7" s="1"/>
  <c r="L13" i="7"/>
  <c r="L37" i="7"/>
  <c r="L18" i="7"/>
  <c r="L8" i="7"/>
  <c r="F53" i="7" s="1"/>
  <c r="L40" i="7"/>
  <c r="L41" i="7"/>
  <c r="L43" i="7"/>
  <c r="L44" i="7"/>
  <c r="L29" i="7"/>
  <c r="L17" i="7"/>
  <c r="L19" i="7"/>
  <c r="L22" i="7"/>
  <c r="L21" i="7"/>
  <c r="L38" i="7"/>
  <c r="L24" i="7"/>
  <c r="L25" i="7"/>
  <c r="L27" i="7"/>
  <c r="L30" i="7"/>
  <c r="L12" i="7"/>
  <c r="L36" i="7"/>
  <c r="C46" i="8"/>
  <c r="S36" i="8"/>
  <c r="L36" i="8"/>
  <c r="M36" i="8" s="1"/>
  <c r="N36" i="8" s="1"/>
  <c r="O36" i="8" s="1"/>
  <c r="P36" i="8" s="1"/>
  <c r="Q36" i="8" s="1"/>
  <c r="K37" i="8" s="1"/>
  <c r="L37" i="8" s="1"/>
  <c r="M37" i="8" s="1"/>
  <c r="N37" i="8" s="1"/>
  <c r="O37" i="8" s="1"/>
  <c r="P37" i="8" s="1"/>
  <c r="Q37" i="8" s="1"/>
  <c r="K38" i="8" s="1"/>
  <c r="L38" i="8" s="1"/>
  <c r="M38" i="8" s="1"/>
  <c r="N38" i="8" s="1"/>
  <c r="O38" i="8" s="1"/>
  <c r="P38" i="8" s="1"/>
  <c r="Q38" i="8" s="1"/>
  <c r="K39" i="8" s="1"/>
  <c r="L39" i="8" s="1"/>
  <c r="M39" i="8" s="1"/>
  <c r="N39" i="8" s="1"/>
  <c r="O39" i="8" s="1"/>
  <c r="P39" i="8" s="1"/>
  <c r="Q39" i="8" s="1"/>
  <c r="K40" i="8" s="1"/>
  <c r="L40" i="8" s="1"/>
  <c r="M40" i="8" s="1"/>
  <c r="N40" i="8" s="1"/>
  <c r="O40" i="8" s="1"/>
  <c r="P40" i="8" s="1"/>
  <c r="Q40" i="8" s="1"/>
  <c r="K41" i="8" s="1"/>
  <c r="L41" i="8" s="1"/>
  <c r="M41" i="8" s="1"/>
  <c r="N41" i="8" s="1"/>
  <c r="O41" i="8" s="1"/>
  <c r="P41" i="8" s="1"/>
  <c r="Q41" i="8" s="1"/>
  <c r="C15" i="7"/>
  <c r="C16" i="5"/>
  <c r="E14" i="7"/>
  <c r="E15" i="5"/>
  <c r="F12" i="7"/>
  <c r="H12" i="7" s="1"/>
  <c r="D16" i="5"/>
  <c r="D15" i="7"/>
  <c r="G16" i="6"/>
  <c r="F16" i="6" s="1"/>
  <c r="C17" i="6"/>
  <c r="F13" i="5"/>
  <c r="G14" i="5"/>
  <c r="G14" i="7" s="1"/>
  <c r="H43" i="8" a="1"/>
  <c r="M24" i="7" l="1"/>
  <c r="M39" i="7"/>
  <c r="M40" i="7"/>
  <c r="M23" i="7"/>
  <c r="M44" i="7"/>
  <c r="M15" i="7"/>
  <c r="M7" i="7"/>
  <c r="G52" i="7" s="1"/>
  <c r="M26" i="7"/>
  <c r="M43" i="7"/>
  <c r="M30" i="7"/>
  <c r="M6" i="7"/>
  <c r="G51" i="7" s="1"/>
  <c r="M32" i="7"/>
  <c r="M42" i="7"/>
  <c r="M19" i="7"/>
  <c r="M14" i="7"/>
  <c r="M16" i="7"/>
  <c r="M33" i="7"/>
  <c r="M9" i="7"/>
  <c r="G54" i="7" s="1"/>
  <c r="M37" i="7"/>
  <c r="M31" i="7"/>
  <c r="M18" i="7"/>
  <c r="M17" i="7"/>
  <c r="M41" i="7"/>
  <c r="M8" i="7"/>
  <c r="G53" i="7" s="1"/>
  <c r="M21" i="7"/>
  <c r="M13" i="7"/>
  <c r="M38" i="7"/>
  <c r="M12" i="7"/>
  <c r="S11" i="6"/>
  <c r="F14" i="5"/>
  <c r="F14" i="7" s="1"/>
  <c r="H14" i="7" s="1"/>
  <c r="R11" i="6"/>
  <c r="N11" i="5"/>
  <c r="H43" i="8"/>
  <c r="C48" i="8"/>
  <c r="K46" i="8"/>
  <c r="T36" i="8"/>
  <c r="U36" i="8" s="1"/>
  <c r="V36" i="8" s="1"/>
  <c r="W36" i="8" s="1"/>
  <c r="X36" i="8" s="1"/>
  <c r="Y36" i="8" s="1"/>
  <c r="S37" i="8" s="1"/>
  <c r="T37" i="8" s="1"/>
  <c r="U37" i="8" s="1"/>
  <c r="V37" i="8" s="1"/>
  <c r="W37" i="8" s="1"/>
  <c r="X37" i="8" s="1"/>
  <c r="Y37" i="8" s="1"/>
  <c r="S38" i="8" s="1"/>
  <c r="T38" i="8" s="1"/>
  <c r="U38" i="8" s="1"/>
  <c r="V38" i="8" s="1"/>
  <c r="W38" i="8" s="1"/>
  <c r="X38" i="8" s="1"/>
  <c r="Y38" i="8" s="1"/>
  <c r="S39" i="8" s="1"/>
  <c r="T39" i="8" s="1"/>
  <c r="U39" i="8" s="1"/>
  <c r="V39" i="8" s="1"/>
  <c r="W39" i="8" s="1"/>
  <c r="X39" i="8" s="1"/>
  <c r="Y39" i="8" s="1"/>
  <c r="S40" i="8" s="1"/>
  <c r="T40" i="8" s="1"/>
  <c r="U40" i="8" s="1"/>
  <c r="V40" i="8" s="1"/>
  <c r="W40" i="8" s="1"/>
  <c r="X40" i="8" s="1"/>
  <c r="Y40" i="8" s="1"/>
  <c r="S41" i="8" s="1"/>
  <c r="T41" i="8" s="1"/>
  <c r="U41" i="8" s="1"/>
  <c r="V41" i="8" s="1"/>
  <c r="W41" i="8" s="1"/>
  <c r="X41" i="8" s="1"/>
  <c r="Y41" i="8" s="1"/>
  <c r="V20" i="6"/>
  <c r="Q20" i="5"/>
  <c r="E15" i="7"/>
  <c r="E16" i="5"/>
  <c r="G16" i="5" s="1"/>
  <c r="G16" i="7" s="1"/>
  <c r="C16" i="7"/>
  <c r="C17" i="5"/>
  <c r="F13" i="7"/>
  <c r="H13" i="7" s="1"/>
  <c r="C18" i="6"/>
  <c r="G17" i="6"/>
  <c r="F17" i="6" s="1"/>
  <c r="D17" i="5"/>
  <c r="D16" i="7"/>
  <c r="G15" i="5"/>
  <c r="G15" i="7" s="1"/>
  <c r="G57" i="7"/>
  <c r="D57" i="7"/>
  <c r="C57" i="7"/>
  <c r="F57" i="7"/>
  <c r="E57" i="7"/>
  <c r="P43" i="8" a="1"/>
  <c r="P43" i="8" l="1"/>
  <c r="N19" i="7"/>
  <c r="N18" i="7"/>
  <c r="N12" i="7"/>
  <c r="H57" i="7" s="1"/>
  <c r="N26" i="7"/>
  <c r="N33" i="7"/>
  <c r="N27" i="7"/>
  <c r="N17" i="7"/>
  <c r="N9" i="7"/>
  <c r="H54" i="7" s="1"/>
  <c r="N14" i="7"/>
  <c r="H59" i="7" s="1"/>
  <c r="N23" i="7"/>
  <c r="N29" i="7"/>
  <c r="N20" i="7"/>
  <c r="N25" i="7"/>
  <c r="N40" i="7"/>
  <c r="N34" i="7"/>
  <c r="N10" i="7"/>
  <c r="H55" i="7" s="1"/>
  <c r="N13" i="7"/>
  <c r="H58" i="7" s="1"/>
  <c r="N6" i="7"/>
  <c r="H51" i="7" s="1"/>
  <c r="N38" i="7"/>
  <c r="N35" i="7"/>
  <c r="N44" i="7"/>
  <c r="N8" i="7"/>
  <c r="H53" i="7" s="1"/>
  <c r="N41" i="7"/>
  <c r="N43" i="7"/>
  <c r="N21" i="7"/>
  <c r="N22" i="7"/>
  <c r="N15" i="7"/>
  <c r="N36" i="7"/>
  <c r="N11" i="7"/>
  <c r="H56" i="7" s="1"/>
  <c r="N31" i="7"/>
  <c r="N32" i="7"/>
  <c r="N42" i="7"/>
  <c r="N39" i="7"/>
  <c r="N37" i="7"/>
  <c r="N24" i="7"/>
  <c r="N30" i="7"/>
  <c r="N28" i="7"/>
  <c r="N16" i="7"/>
  <c r="N7" i="7"/>
  <c r="H52" i="7" s="1"/>
  <c r="D48" i="8"/>
  <c r="E48" i="8" s="1"/>
  <c r="F48" i="8" s="1"/>
  <c r="G48" i="8" s="1"/>
  <c r="H48" i="8" s="1"/>
  <c r="I48" i="8" s="1"/>
  <c r="C49" i="8" s="1"/>
  <c r="D49" i="8" s="1"/>
  <c r="E49" i="8" s="1"/>
  <c r="F49" i="8" s="1"/>
  <c r="G49" i="8" s="1"/>
  <c r="H49" i="8" s="1"/>
  <c r="I49" i="8" s="1"/>
  <c r="C50" i="8" s="1"/>
  <c r="D50" i="8" s="1"/>
  <c r="E50" i="8" s="1"/>
  <c r="F50" i="8" s="1"/>
  <c r="G50" i="8" s="1"/>
  <c r="H50" i="8" s="1"/>
  <c r="I50" i="8" s="1"/>
  <c r="C51" i="8" s="1"/>
  <c r="D51" i="8" s="1"/>
  <c r="E51" i="8" s="1"/>
  <c r="F51" i="8" s="1"/>
  <c r="G51" i="8" s="1"/>
  <c r="H51" i="8" s="1"/>
  <c r="I51" i="8" s="1"/>
  <c r="C52" i="8" s="1"/>
  <c r="D52" i="8" s="1"/>
  <c r="E52" i="8" s="1"/>
  <c r="F52" i="8" s="1"/>
  <c r="G52" i="8" s="1"/>
  <c r="H52" i="8" s="1"/>
  <c r="I52" i="8" s="1"/>
  <c r="C53" i="8" s="1"/>
  <c r="D53" i="8" s="1"/>
  <c r="E53" i="8" s="1"/>
  <c r="F53" i="8" s="1"/>
  <c r="G53" i="8" s="1"/>
  <c r="H53" i="8" s="1"/>
  <c r="I53" i="8" s="1"/>
  <c r="Q21" i="5"/>
  <c r="V21" i="6"/>
  <c r="K48" i="8"/>
  <c r="S46" i="8"/>
  <c r="S48" i="8" s="1"/>
  <c r="G59" i="7"/>
  <c r="F59" i="7"/>
  <c r="E59" i="7"/>
  <c r="D59" i="7"/>
  <c r="C59" i="7"/>
  <c r="C19" i="6"/>
  <c r="G18" i="6"/>
  <c r="F18" i="6" s="1"/>
  <c r="C17" i="7"/>
  <c r="C18" i="5"/>
  <c r="E16" i="7"/>
  <c r="E17" i="5"/>
  <c r="Q12" i="6"/>
  <c r="K12" i="6"/>
  <c r="J12" i="6"/>
  <c r="I12" i="6"/>
  <c r="H12" i="6"/>
  <c r="P12" i="6"/>
  <c r="L12" i="6"/>
  <c r="M12" i="5"/>
  <c r="L12" i="5"/>
  <c r="K12" i="5"/>
  <c r="J12" i="5"/>
  <c r="I12" i="5"/>
  <c r="H12" i="5"/>
  <c r="O12" i="6"/>
  <c r="N12" i="6"/>
  <c r="M12" i="6"/>
  <c r="E58" i="7"/>
  <c r="C58" i="7"/>
  <c r="F58" i="7"/>
  <c r="D58" i="7"/>
  <c r="G58" i="7"/>
  <c r="D17" i="7"/>
  <c r="D18" i="5"/>
  <c r="F15" i="5"/>
  <c r="F16" i="5"/>
  <c r="F16" i="7" s="1"/>
  <c r="X43" i="8" a="1"/>
  <c r="V22" i="6" l="1"/>
  <c r="Q22" i="5"/>
  <c r="S12" i="6"/>
  <c r="X43" i="8"/>
  <c r="N12" i="5"/>
  <c r="R12" i="6"/>
  <c r="T48" i="8"/>
  <c r="U48" i="8" s="1"/>
  <c r="V48" i="8" s="1"/>
  <c r="W48" i="8" s="1"/>
  <c r="X48" i="8" s="1"/>
  <c r="Y48" i="8" s="1"/>
  <c r="S49" i="8" s="1"/>
  <c r="T49" i="8" s="1"/>
  <c r="U49" i="8" s="1"/>
  <c r="V49" i="8" s="1"/>
  <c r="W49" i="8" s="1"/>
  <c r="X49" i="8" s="1"/>
  <c r="Y49" i="8" s="1"/>
  <c r="S50" i="8" s="1"/>
  <c r="T50" i="8" s="1"/>
  <c r="U50" i="8" s="1"/>
  <c r="V50" i="8" s="1"/>
  <c r="W50" i="8" s="1"/>
  <c r="X50" i="8" s="1"/>
  <c r="Y50" i="8" s="1"/>
  <c r="S51" i="8" s="1"/>
  <c r="T51" i="8" s="1"/>
  <c r="U51" i="8" s="1"/>
  <c r="V51" i="8" s="1"/>
  <c r="W51" i="8" s="1"/>
  <c r="X51" i="8" s="1"/>
  <c r="Y51" i="8" s="1"/>
  <c r="S52" i="8" s="1"/>
  <c r="T52" i="8" s="1"/>
  <c r="U52" i="8" s="1"/>
  <c r="V52" i="8" s="1"/>
  <c r="W52" i="8" s="1"/>
  <c r="X52" i="8" s="1"/>
  <c r="Y52" i="8" s="1"/>
  <c r="S53" i="8" s="1"/>
  <c r="T53" i="8" s="1"/>
  <c r="U53" i="8" s="1"/>
  <c r="V53" i="8" s="1"/>
  <c r="W53" i="8" s="1"/>
  <c r="X53" i="8" s="1"/>
  <c r="Y53" i="8" s="1"/>
  <c r="H16" i="7"/>
  <c r="E61" i="7" s="1"/>
  <c r="P23" i="7"/>
  <c r="P14" i="7"/>
  <c r="J59" i="7" s="1"/>
  <c r="P41" i="7"/>
  <c r="P38" i="7"/>
  <c r="P20" i="7"/>
  <c r="P19" i="7"/>
  <c r="P6" i="7"/>
  <c r="J51" i="7" s="1"/>
  <c r="P21" i="7"/>
  <c r="P10" i="7"/>
  <c r="J55" i="7" s="1"/>
  <c r="P8" i="7"/>
  <c r="J53" i="7" s="1"/>
  <c r="P27" i="7"/>
  <c r="P24" i="7"/>
  <c r="P42" i="7"/>
  <c r="P16" i="7"/>
  <c r="P32" i="7"/>
  <c r="P18" i="7"/>
  <c r="L48" i="8"/>
  <c r="M48" i="8" s="1"/>
  <c r="N48" i="8" s="1"/>
  <c r="O48" i="8" s="1"/>
  <c r="P48" i="8" s="1"/>
  <c r="Q48" i="8" s="1"/>
  <c r="K49" i="8" s="1"/>
  <c r="L49" i="8" s="1"/>
  <c r="M49" i="8" s="1"/>
  <c r="N49" i="8" s="1"/>
  <c r="O49" i="8" s="1"/>
  <c r="P49" i="8" s="1"/>
  <c r="Q49" i="8" s="1"/>
  <c r="K50" i="8" s="1"/>
  <c r="L50" i="8" s="1"/>
  <c r="M50" i="8" s="1"/>
  <c r="N50" i="8" s="1"/>
  <c r="O50" i="8" s="1"/>
  <c r="P50" i="8" s="1"/>
  <c r="Q50" i="8" s="1"/>
  <c r="K51" i="8" s="1"/>
  <c r="L51" i="8" s="1"/>
  <c r="M51" i="8" s="1"/>
  <c r="N51" i="8" s="1"/>
  <c r="O51" i="8" s="1"/>
  <c r="P51" i="8" s="1"/>
  <c r="Q51" i="8" s="1"/>
  <c r="K52" i="8" s="1"/>
  <c r="L52" i="8" s="1"/>
  <c r="M52" i="8" s="1"/>
  <c r="N52" i="8" s="1"/>
  <c r="O52" i="8" s="1"/>
  <c r="P52" i="8" s="1"/>
  <c r="Q52" i="8" s="1"/>
  <c r="K53" i="8" s="1"/>
  <c r="L53" i="8" s="1"/>
  <c r="M53" i="8" s="1"/>
  <c r="N53" i="8" s="1"/>
  <c r="O53" i="8" s="1"/>
  <c r="P53" i="8" s="1"/>
  <c r="Q53" i="8" s="1"/>
  <c r="O32" i="7"/>
  <c r="O13" i="7"/>
  <c r="I58" i="7" s="1"/>
  <c r="O26" i="7"/>
  <c r="O44" i="7"/>
  <c r="O29" i="7"/>
  <c r="O8" i="7"/>
  <c r="I53" i="7" s="1"/>
  <c r="O15" i="7"/>
  <c r="O28" i="7"/>
  <c r="O37" i="7"/>
  <c r="O33" i="7"/>
  <c r="O20" i="7"/>
  <c r="O7" i="7"/>
  <c r="I52" i="7" s="1"/>
  <c r="O35" i="7"/>
  <c r="O22" i="7"/>
  <c r="O24" i="7"/>
  <c r="O6" i="7"/>
  <c r="I51" i="7" s="1"/>
  <c r="O43" i="7"/>
  <c r="O41" i="7"/>
  <c r="O14" i="7"/>
  <c r="I59" i="7" s="1"/>
  <c r="O38" i="7"/>
  <c r="O19" i="7"/>
  <c r="O12" i="7"/>
  <c r="I57" i="7" s="1"/>
  <c r="O36" i="7"/>
  <c r="O30" i="7"/>
  <c r="O39" i="7"/>
  <c r="O40" i="7"/>
  <c r="O10" i="7"/>
  <c r="I55" i="7" s="1"/>
  <c r="O9" i="7"/>
  <c r="I54" i="7" s="1"/>
  <c r="O42" i="7"/>
  <c r="O18" i="7"/>
  <c r="O27" i="7"/>
  <c r="O23" i="7"/>
  <c r="O11" i="7"/>
  <c r="I56" i="7" s="1"/>
  <c r="O25" i="7"/>
  <c r="O16" i="7"/>
  <c r="O34" i="7"/>
  <c r="O17" i="7"/>
  <c r="O31" i="7"/>
  <c r="O21" i="7"/>
  <c r="E17" i="7"/>
  <c r="E18" i="5"/>
  <c r="G18" i="5" s="1"/>
  <c r="G18" i="7" s="1"/>
  <c r="F15" i="7"/>
  <c r="H15" i="7" s="1"/>
  <c r="D18" i="7"/>
  <c r="D19" i="5"/>
  <c r="L14" i="6"/>
  <c r="I14" i="6"/>
  <c r="L14" i="5"/>
  <c r="H14" i="6"/>
  <c r="K14" i="5"/>
  <c r="J14" i="5"/>
  <c r="Q14" i="6"/>
  <c r="O14" i="6"/>
  <c r="J14" i="6"/>
  <c r="M14" i="5"/>
  <c r="P14" i="6"/>
  <c r="N14" i="6"/>
  <c r="M14" i="6"/>
  <c r="K14" i="6"/>
  <c r="H14" i="5"/>
  <c r="I14" i="5"/>
  <c r="I13" i="6"/>
  <c r="O13" i="6"/>
  <c r="N13" i="6"/>
  <c r="M13" i="5"/>
  <c r="M13" i="6"/>
  <c r="L13" i="5"/>
  <c r="L13" i="6"/>
  <c r="J13" i="6"/>
  <c r="P13" i="6"/>
  <c r="Q13" i="6"/>
  <c r="K13" i="6"/>
  <c r="H13" i="6"/>
  <c r="K13" i="5"/>
  <c r="J13" i="5"/>
  <c r="I13" i="5"/>
  <c r="H13" i="5"/>
  <c r="G19" i="6"/>
  <c r="F19" i="6" s="1"/>
  <c r="C20" i="6"/>
  <c r="C18" i="7"/>
  <c r="C19" i="5"/>
  <c r="G17" i="5"/>
  <c r="G17" i="7" s="1"/>
  <c r="H55" i="8" a="1"/>
  <c r="P37" i="7" l="1"/>
  <c r="P25" i="7"/>
  <c r="P26" i="7"/>
  <c r="P13" i="7"/>
  <c r="J58" i="7" s="1"/>
  <c r="P33" i="7"/>
  <c r="P15" i="7"/>
  <c r="J60" i="7" s="1"/>
  <c r="P11" i="7"/>
  <c r="J56" i="7" s="1"/>
  <c r="P44" i="7"/>
  <c r="P40" i="7"/>
  <c r="P28" i="7"/>
  <c r="P7" i="7"/>
  <c r="J52" i="7" s="1"/>
  <c r="P29" i="7"/>
  <c r="P43" i="7"/>
  <c r="P22" i="7"/>
  <c r="P39" i="7"/>
  <c r="P17" i="7"/>
  <c r="P36" i="7"/>
  <c r="P12" i="7"/>
  <c r="J57" i="7" s="1"/>
  <c r="P34" i="7"/>
  <c r="P9" i="7"/>
  <c r="J54" i="7" s="1"/>
  <c r="P35" i="7"/>
  <c r="P31" i="7"/>
  <c r="P30" i="7"/>
  <c r="F61" i="7"/>
  <c r="D61" i="7"/>
  <c r="Q16" i="6" s="1"/>
  <c r="J61" i="7"/>
  <c r="I61" i="7"/>
  <c r="F17" i="5"/>
  <c r="F17" i="7" s="1"/>
  <c r="H17" i="7" s="1"/>
  <c r="H61" i="7"/>
  <c r="H55" i="8"/>
  <c r="R13" i="6"/>
  <c r="C61" i="7"/>
  <c r="F18" i="5"/>
  <c r="F18" i="7" s="1"/>
  <c r="N14" i="5"/>
  <c r="R14" i="6"/>
  <c r="S14" i="6"/>
  <c r="G61" i="7"/>
  <c r="N13" i="5"/>
  <c r="S13" i="6"/>
  <c r="Q23" i="5"/>
  <c r="V23" i="6"/>
  <c r="D19" i="7"/>
  <c r="D20" i="5"/>
  <c r="I60" i="7"/>
  <c r="F60" i="7"/>
  <c r="E60" i="7"/>
  <c r="D60" i="7"/>
  <c r="G60" i="7"/>
  <c r="H60" i="7"/>
  <c r="C60" i="7"/>
  <c r="E18" i="7"/>
  <c r="E19" i="5"/>
  <c r="C21" i="6"/>
  <c r="G20" i="6"/>
  <c r="F20" i="6" s="1"/>
  <c r="C19" i="7"/>
  <c r="C20" i="5"/>
  <c r="X55" i="8" a="1"/>
  <c r="P55" i="8" a="1"/>
  <c r="O16" i="6" l="1"/>
  <c r="H16" i="6"/>
  <c r="K16" i="5"/>
  <c r="K16" i="6"/>
  <c r="L16" i="6"/>
  <c r="N16" i="6"/>
  <c r="H16" i="5"/>
  <c r="M16" i="5"/>
  <c r="I16" i="5"/>
  <c r="I16" i="6"/>
  <c r="J16" i="5"/>
  <c r="M16" i="6"/>
  <c r="L16" i="5"/>
  <c r="P16" i="6"/>
  <c r="J16" i="6"/>
  <c r="I62" i="7"/>
  <c r="J62" i="7"/>
  <c r="H62" i="7"/>
  <c r="C62" i="7"/>
  <c r="D62" i="7"/>
  <c r="L17" i="5" s="1"/>
  <c r="F62" i="7"/>
  <c r="E62" i="7"/>
  <c r="G62" i="7"/>
  <c r="X55" i="8"/>
  <c r="P55" i="8"/>
  <c r="Q44" i="7"/>
  <c r="Q35" i="7"/>
  <c r="Q9" i="7"/>
  <c r="K54" i="7" s="1"/>
  <c r="Q41" i="7"/>
  <c r="Q21" i="7"/>
  <c r="Q6" i="7"/>
  <c r="K51" i="7" s="1"/>
  <c r="Q31" i="7"/>
  <c r="Q22" i="7"/>
  <c r="Q33" i="7"/>
  <c r="Q7" i="7"/>
  <c r="K52" i="7" s="1"/>
  <c r="Q12" i="7"/>
  <c r="K57" i="7" s="1"/>
  <c r="Q40" i="7"/>
  <c r="Q25" i="7"/>
  <c r="Q10" i="7"/>
  <c r="K55" i="7" s="1"/>
  <c r="Q27" i="7"/>
  <c r="Q39" i="7"/>
  <c r="Q34" i="7"/>
  <c r="Q17" i="7"/>
  <c r="K62" i="7" s="1"/>
  <c r="Q14" i="7"/>
  <c r="K59" i="7" s="1"/>
  <c r="Q32" i="7"/>
  <c r="Q11" i="7"/>
  <c r="K56" i="7" s="1"/>
  <c r="Q18" i="7"/>
  <c r="Q19" i="7"/>
  <c r="Q38" i="7"/>
  <c r="Q28" i="7"/>
  <c r="Q29" i="7"/>
  <c r="Q24" i="7"/>
  <c r="Q26" i="7"/>
  <c r="Q20" i="7"/>
  <c r="Q15" i="7"/>
  <c r="K60" i="7" s="1"/>
  <c r="Q36" i="7"/>
  <c r="Q23" i="7"/>
  <c r="Q37" i="7"/>
  <c r="Q13" i="7"/>
  <c r="K58" i="7" s="1"/>
  <c r="Q30" i="7"/>
  <c r="Q8" i="7"/>
  <c r="K53" i="7" s="1"/>
  <c r="Q42" i="7"/>
  <c r="Q16" i="7"/>
  <c r="K61" i="7" s="1"/>
  <c r="Q43" i="7"/>
  <c r="H18" i="7"/>
  <c r="J63" i="7" s="1"/>
  <c r="V24" i="6"/>
  <c r="Q24" i="5"/>
  <c r="G21" i="6"/>
  <c r="F21" i="6" s="1"/>
  <c r="C22" i="6"/>
  <c r="E19" i="7"/>
  <c r="E20" i="5"/>
  <c r="G20" i="5" s="1"/>
  <c r="G20" i="7" s="1"/>
  <c r="O15" i="6"/>
  <c r="N15" i="6"/>
  <c r="J15" i="5"/>
  <c r="M15" i="6"/>
  <c r="I15" i="5"/>
  <c r="L15" i="6"/>
  <c r="H15" i="5"/>
  <c r="K15" i="6"/>
  <c r="I15" i="6"/>
  <c r="P15" i="6"/>
  <c r="K15" i="5"/>
  <c r="H15" i="6"/>
  <c r="M15" i="5"/>
  <c r="L15" i="5"/>
  <c r="Q15" i="6"/>
  <c r="J15" i="6"/>
  <c r="C20" i="7"/>
  <c r="C21" i="5"/>
  <c r="G19" i="5"/>
  <c r="D20" i="7"/>
  <c r="D21" i="5"/>
  <c r="S16" i="6" l="1"/>
  <c r="R16" i="6"/>
  <c r="N16" i="5"/>
  <c r="K17" i="5"/>
  <c r="I17" i="5"/>
  <c r="N17" i="6"/>
  <c r="J17" i="5"/>
  <c r="M17" i="5"/>
  <c r="K17" i="6"/>
  <c r="L17" i="6"/>
  <c r="I17" i="6"/>
  <c r="C63" i="7"/>
  <c r="G63" i="7"/>
  <c r="I63" i="7"/>
  <c r="J17" i="6"/>
  <c r="O17" i="6"/>
  <c r="P17" i="6"/>
  <c r="H17" i="5"/>
  <c r="M17" i="6"/>
  <c r="Q17" i="6"/>
  <c r="H17" i="6"/>
  <c r="K63" i="7"/>
  <c r="D63" i="7"/>
  <c r="I18" i="5" s="1"/>
  <c r="E63" i="7"/>
  <c r="F63" i="7"/>
  <c r="R30" i="7"/>
  <c r="R25" i="7"/>
  <c r="R20" i="7"/>
  <c r="R27" i="7"/>
  <c r="R23" i="7"/>
  <c r="R15" i="7"/>
  <c r="L60" i="7" s="1"/>
  <c r="R11" i="7"/>
  <c r="L56" i="7" s="1"/>
  <c r="R16" i="7"/>
  <c r="L61" i="7" s="1"/>
  <c r="R13" i="7"/>
  <c r="L58" i="7" s="1"/>
  <c r="R32" i="7"/>
  <c r="R9" i="7"/>
  <c r="L54" i="7" s="1"/>
  <c r="R6" i="7"/>
  <c r="L51" i="7" s="1"/>
  <c r="R38" i="7"/>
  <c r="R42" i="7"/>
  <c r="R33" i="7"/>
  <c r="R34" i="7"/>
  <c r="R39" i="7"/>
  <c r="R24" i="7"/>
  <c r="R17" i="7"/>
  <c r="L62" i="7" s="1"/>
  <c r="R8" i="7"/>
  <c r="L53" i="7" s="1"/>
  <c r="R36" i="7"/>
  <c r="R43" i="7"/>
  <c r="R26" i="7"/>
  <c r="R12" i="7"/>
  <c r="L57" i="7" s="1"/>
  <c r="R28" i="7"/>
  <c r="R35" i="7"/>
  <c r="R19" i="7"/>
  <c r="R22" i="7"/>
  <c r="R29" i="7"/>
  <c r="R7" i="7"/>
  <c r="L52" i="7" s="1"/>
  <c r="R44" i="7"/>
  <c r="R41" i="7"/>
  <c r="R31" i="7"/>
  <c r="R18" i="7"/>
  <c r="L63" i="7" s="1"/>
  <c r="R14" i="7"/>
  <c r="L59" i="7" s="1"/>
  <c r="R40" i="7"/>
  <c r="R37" i="7"/>
  <c r="R10" i="7"/>
  <c r="L55" i="7" s="1"/>
  <c r="R21" i="7"/>
  <c r="R15" i="6"/>
  <c r="S15" i="6"/>
  <c r="N15" i="5"/>
  <c r="H63" i="7"/>
  <c r="Q25" i="5"/>
  <c r="V25" i="6"/>
  <c r="Q26" i="5"/>
  <c r="V26" i="6"/>
  <c r="C23" i="6"/>
  <c r="G22" i="6"/>
  <c r="F22" i="6" s="1"/>
  <c r="D21" i="7"/>
  <c r="D22" i="5"/>
  <c r="G19" i="7"/>
  <c r="F19" i="5"/>
  <c r="F20" i="5"/>
  <c r="C21" i="7"/>
  <c r="C22" i="5"/>
  <c r="E20" i="7"/>
  <c r="E21" i="5"/>
  <c r="N17" i="5" l="1"/>
  <c r="J18" i="6"/>
  <c r="M18" i="6"/>
  <c r="K18" i="5"/>
  <c r="S17" i="6"/>
  <c r="P18" i="6"/>
  <c r="K18" i="6"/>
  <c r="R17" i="6"/>
  <c r="H18" i="6"/>
  <c r="I18" i="6"/>
  <c r="L18" i="5"/>
  <c r="Q18" i="6"/>
  <c r="H18" i="5"/>
  <c r="J18" i="5"/>
  <c r="N18" i="6"/>
  <c r="L18" i="6"/>
  <c r="M18" i="5"/>
  <c r="O18" i="6"/>
  <c r="T37" i="7"/>
  <c r="T43" i="7"/>
  <c r="T20" i="7"/>
  <c r="T38" i="7"/>
  <c r="T29" i="7"/>
  <c r="T9" i="7"/>
  <c r="N54" i="7" s="1"/>
  <c r="T44" i="7"/>
  <c r="T15" i="7"/>
  <c r="N60" i="7" s="1"/>
  <c r="T24" i="7"/>
  <c r="T18" i="7"/>
  <c r="N63" i="7" s="1"/>
  <c r="T10" i="7"/>
  <c r="N55" i="7" s="1"/>
  <c r="T30" i="7"/>
  <c r="T16" i="7"/>
  <c r="N61" i="7" s="1"/>
  <c r="T36" i="7"/>
  <c r="T35" i="7"/>
  <c r="T41" i="7"/>
  <c r="T6" i="7"/>
  <c r="N51" i="7" s="1"/>
  <c r="T28" i="7"/>
  <c r="T33" i="7"/>
  <c r="T31" i="7"/>
  <c r="T27" i="7"/>
  <c r="T12" i="7"/>
  <c r="N57" i="7" s="1"/>
  <c r="T19" i="7"/>
  <c r="T42" i="7"/>
  <c r="T25" i="7"/>
  <c r="T40" i="7"/>
  <c r="T14" i="7"/>
  <c r="N59" i="7" s="1"/>
  <c r="T32" i="7"/>
  <c r="T17" i="7"/>
  <c r="N62" i="7" s="1"/>
  <c r="T23" i="7"/>
  <c r="T8" i="7"/>
  <c r="N53" i="7" s="1"/>
  <c r="T39" i="7"/>
  <c r="T7" i="7"/>
  <c r="N52" i="7" s="1"/>
  <c r="T11" i="7"/>
  <c r="N56" i="7" s="1"/>
  <c r="T21" i="7"/>
  <c r="T22" i="7"/>
  <c r="T13" i="7"/>
  <c r="N58" i="7" s="1"/>
  <c r="T34" i="7"/>
  <c r="T26" i="7"/>
  <c r="S29" i="7"/>
  <c r="S24" i="7"/>
  <c r="S35" i="7"/>
  <c r="S19" i="7"/>
  <c r="S44" i="7"/>
  <c r="S14" i="7"/>
  <c r="M59" i="7" s="1"/>
  <c r="S17" i="7"/>
  <c r="M62" i="7" s="1"/>
  <c r="S8" i="7"/>
  <c r="M53" i="7" s="1"/>
  <c r="S37" i="7"/>
  <c r="S7" i="7"/>
  <c r="M52" i="7" s="1"/>
  <c r="S18" i="7"/>
  <c r="M63" i="7" s="1"/>
  <c r="S40" i="7"/>
  <c r="S30" i="7"/>
  <c r="S36" i="7"/>
  <c r="S22" i="7"/>
  <c r="S41" i="7"/>
  <c r="S15" i="7"/>
  <c r="M60" i="7" s="1"/>
  <c r="S28" i="7"/>
  <c r="S20" i="7"/>
  <c r="S38" i="7"/>
  <c r="S16" i="7"/>
  <c r="M61" i="7" s="1"/>
  <c r="S21" i="7"/>
  <c r="S27" i="7"/>
  <c r="S43" i="7"/>
  <c r="S6" i="7"/>
  <c r="M51" i="7" s="1"/>
  <c r="S9" i="7"/>
  <c r="M54" i="7" s="1"/>
  <c r="S10" i="7"/>
  <c r="M55" i="7" s="1"/>
  <c r="S25" i="7"/>
  <c r="S42" i="7"/>
  <c r="S23" i="7"/>
  <c r="S33" i="7"/>
  <c r="S31" i="7"/>
  <c r="S26" i="7"/>
  <c r="S12" i="7"/>
  <c r="M57" i="7" s="1"/>
  <c r="S11" i="7"/>
  <c r="M56" i="7" s="1"/>
  <c r="S39" i="7"/>
  <c r="S34" i="7"/>
  <c r="S13" i="7"/>
  <c r="M58" i="7" s="1"/>
  <c r="S32" i="7"/>
  <c r="F20" i="7"/>
  <c r="H20" i="7" s="1"/>
  <c r="E21" i="7"/>
  <c r="E22" i="5"/>
  <c r="D22" i="7"/>
  <c r="D23" i="5"/>
  <c r="G21" i="5"/>
  <c r="G21" i="7" s="1"/>
  <c r="C24" i="6"/>
  <c r="G23" i="6"/>
  <c r="F23" i="6" s="1"/>
  <c r="F19" i="7"/>
  <c r="H19" i="7" s="1"/>
  <c r="C22" i="7"/>
  <c r="C23" i="5"/>
  <c r="R18" i="6" l="1"/>
  <c r="N18" i="5"/>
  <c r="S18" i="6"/>
  <c r="F21" i="5"/>
  <c r="F21" i="7" s="1"/>
  <c r="H21" i="7" s="1"/>
  <c r="G64" i="7"/>
  <c r="F64" i="7"/>
  <c r="L64" i="7"/>
  <c r="K64" i="7"/>
  <c r="J64" i="7"/>
  <c r="M64" i="7"/>
  <c r="N64" i="7"/>
  <c r="H64" i="7"/>
  <c r="D64" i="7"/>
  <c r="C64" i="7"/>
  <c r="I64" i="7"/>
  <c r="E64" i="7"/>
  <c r="D24" i="5"/>
  <c r="D23" i="7"/>
  <c r="N65" i="7"/>
  <c r="D65" i="7"/>
  <c r="M65" i="7"/>
  <c r="C65" i="7"/>
  <c r="K65" i="7"/>
  <c r="J65" i="7"/>
  <c r="I65" i="7"/>
  <c r="L65" i="7"/>
  <c r="F65" i="7"/>
  <c r="E65" i="7"/>
  <c r="G65" i="7"/>
  <c r="H65" i="7"/>
  <c r="E22" i="7"/>
  <c r="E23" i="5"/>
  <c r="G23" i="5" s="1"/>
  <c r="G23" i="7" s="1"/>
  <c r="G22" i="5"/>
  <c r="G22" i="7" s="1"/>
  <c r="C25" i="6"/>
  <c r="G24" i="6"/>
  <c r="F24" i="6" s="1"/>
  <c r="C23" i="7"/>
  <c r="C24" i="5"/>
  <c r="G66" i="7" l="1"/>
  <c r="E66" i="7"/>
  <c r="L66" i="7"/>
  <c r="K66" i="7"/>
  <c r="H66" i="7"/>
  <c r="N66" i="7"/>
  <c r="I66" i="7"/>
  <c r="J66" i="7"/>
  <c r="M66" i="7"/>
  <c r="F22" i="5"/>
  <c r="F22" i="7" s="1"/>
  <c r="H22" i="7" s="1"/>
  <c r="E67" i="7" s="1"/>
  <c r="D66" i="7"/>
  <c r="L21" i="5" s="1"/>
  <c r="F66" i="7"/>
  <c r="C66" i="7"/>
  <c r="O20" i="6"/>
  <c r="M20" i="6"/>
  <c r="L20" i="6"/>
  <c r="L20" i="5"/>
  <c r="K20" i="6"/>
  <c r="M20" i="5"/>
  <c r="J20" i="6"/>
  <c r="H20" i="6"/>
  <c r="N20" i="6"/>
  <c r="I20" i="5"/>
  <c r="H20" i="5"/>
  <c r="Q20" i="6"/>
  <c r="P20" i="6"/>
  <c r="J20" i="5"/>
  <c r="I20" i="6"/>
  <c r="K20" i="5"/>
  <c r="G25" i="6"/>
  <c r="F25" i="6" s="1"/>
  <c r="C26" i="6"/>
  <c r="F23" i="5"/>
  <c r="Q21" i="6"/>
  <c r="M21" i="5"/>
  <c r="C24" i="7"/>
  <c r="C25" i="5"/>
  <c r="E23" i="7"/>
  <c r="E24" i="5"/>
  <c r="M19" i="6"/>
  <c r="I19" i="6"/>
  <c r="H19" i="5"/>
  <c r="H19" i="6"/>
  <c r="Q19" i="6"/>
  <c r="O19" i="6"/>
  <c r="J19" i="6"/>
  <c r="I19" i="5"/>
  <c r="P19" i="6"/>
  <c r="N19" i="6"/>
  <c r="L19" i="6"/>
  <c r="K19" i="6"/>
  <c r="M19" i="5"/>
  <c r="L19" i="5"/>
  <c r="K19" i="5"/>
  <c r="J19" i="5"/>
  <c r="D24" i="7"/>
  <c r="D25" i="5"/>
  <c r="H21" i="6" l="1"/>
  <c r="H21" i="5"/>
  <c r="K21" i="5"/>
  <c r="I21" i="6"/>
  <c r="J21" i="6"/>
  <c r="J21" i="5"/>
  <c r="O21" i="6"/>
  <c r="L21" i="6"/>
  <c r="N21" i="6"/>
  <c r="M21" i="6"/>
  <c r="I21" i="5"/>
  <c r="P21" i="6"/>
  <c r="K21" i="6"/>
  <c r="M67" i="7"/>
  <c r="N67" i="7"/>
  <c r="I67" i="7"/>
  <c r="J67" i="7"/>
  <c r="H67" i="7"/>
  <c r="L67" i="7"/>
  <c r="F67" i="7"/>
  <c r="D67" i="7"/>
  <c r="J22" i="5" s="1"/>
  <c r="K67" i="7"/>
  <c r="G67" i="7"/>
  <c r="C67" i="7"/>
  <c r="R19" i="6"/>
  <c r="N19" i="5"/>
  <c r="S19" i="6"/>
  <c r="N20" i="5"/>
  <c r="S20" i="6"/>
  <c r="R20" i="6"/>
  <c r="E24" i="7"/>
  <c r="E25" i="5"/>
  <c r="G25" i="5" s="1"/>
  <c r="G25" i="7" s="1"/>
  <c r="D26" i="5"/>
  <c r="D25" i="7"/>
  <c r="C25" i="7"/>
  <c r="C26" i="5"/>
  <c r="G24" i="5"/>
  <c r="G24" i="7" s="1"/>
  <c r="F23" i="7"/>
  <c r="H23" i="7" s="1"/>
  <c r="G26" i="6"/>
  <c r="F26" i="6" s="1"/>
  <c r="C27" i="6"/>
  <c r="N21" i="5" l="1"/>
  <c r="R21" i="6"/>
  <c r="S21" i="6"/>
  <c r="K22" i="5"/>
  <c r="P22" i="6"/>
  <c r="I22" i="5"/>
  <c r="H22" i="6"/>
  <c r="L22" i="6"/>
  <c r="L22" i="5"/>
  <c r="M22" i="5"/>
  <c r="N22" i="6"/>
  <c r="H22" i="5"/>
  <c r="J22" i="6"/>
  <c r="M22" i="6"/>
  <c r="O22" i="6"/>
  <c r="K22" i="6"/>
  <c r="I22" i="6"/>
  <c r="Q22" i="6"/>
  <c r="F24" i="5"/>
  <c r="F24" i="7" s="1"/>
  <c r="H24" i="7" s="1"/>
  <c r="M69" i="7" s="1"/>
  <c r="I68" i="7"/>
  <c r="H68" i="7"/>
  <c r="G68" i="7"/>
  <c r="N68" i="7"/>
  <c r="M68" i="7"/>
  <c r="L68" i="7"/>
  <c r="K68" i="7"/>
  <c r="J68" i="7"/>
  <c r="F68" i="7"/>
  <c r="E68" i="7"/>
  <c r="C68" i="7"/>
  <c r="D68" i="7"/>
  <c r="C28" i="6"/>
  <c r="G27" i="6"/>
  <c r="F27" i="6" s="1"/>
  <c r="F25" i="5"/>
  <c r="E25" i="7"/>
  <c r="E26" i="5"/>
  <c r="G26" i="5" s="1"/>
  <c r="G26" i="7" s="1"/>
  <c r="C26" i="7"/>
  <c r="C27" i="5"/>
  <c r="D26" i="7"/>
  <c r="D27" i="5"/>
  <c r="N22" i="5" l="1"/>
  <c r="D69" i="7"/>
  <c r="K24" i="6" s="1"/>
  <c r="J69" i="7"/>
  <c r="E69" i="7"/>
  <c r="R22" i="6"/>
  <c r="S22" i="6"/>
  <c r="G69" i="7"/>
  <c r="F69" i="7"/>
  <c r="F26" i="5"/>
  <c r="F26" i="7" s="1"/>
  <c r="K69" i="7"/>
  <c r="H69" i="7"/>
  <c r="I69" i="7"/>
  <c r="N69" i="7"/>
  <c r="C69" i="7"/>
  <c r="L69" i="7"/>
  <c r="F25" i="7"/>
  <c r="H25" i="7" s="1"/>
  <c r="K23" i="6"/>
  <c r="H23" i="6"/>
  <c r="P23" i="6"/>
  <c r="O23" i="6"/>
  <c r="M23" i="5"/>
  <c r="N23" i="6"/>
  <c r="M23" i="6"/>
  <c r="J23" i="6"/>
  <c r="Q23" i="6"/>
  <c r="J23" i="5"/>
  <c r="I23" i="5"/>
  <c r="H23" i="5"/>
  <c r="L23" i="6"/>
  <c r="K23" i="5"/>
  <c r="I23" i="6"/>
  <c r="L23" i="5"/>
  <c r="C27" i="7"/>
  <c r="C28" i="5"/>
  <c r="G28" i="6"/>
  <c r="F28" i="6" s="1"/>
  <c r="C29" i="6"/>
  <c r="D27" i="7"/>
  <c r="D28" i="5"/>
  <c r="E26" i="7"/>
  <c r="E27" i="5"/>
  <c r="O24" i="6" l="1"/>
  <c r="P24" i="6"/>
  <c r="M24" i="6"/>
  <c r="J24" i="6"/>
  <c r="L24" i="6"/>
  <c r="Q24" i="6"/>
  <c r="K24" i="5"/>
  <c r="H24" i="6"/>
  <c r="J24" i="5"/>
  <c r="H24" i="5"/>
  <c r="L24" i="5"/>
  <c r="I24" i="5"/>
  <c r="I24" i="6"/>
  <c r="N24" i="6"/>
  <c r="M24" i="5"/>
  <c r="H26" i="7"/>
  <c r="H71" i="7" s="1"/>
  <c r="S23" i="6"/>
  <c r="N23" i="5"/>
  <c r="R23" i="6"/>
  <c r="G27" i="5"/>
  <c r="D28" i="7"/>
  <c r="D29" i="5"/>
  <c r="C28" i="7"/>
  <c r="C29" i="5"/>
  <c r="M70" i="7"/>
  <c r="C70" i="7"/>
  <c r="E70" i="7"/>
  <c r="D70" i="7"/>
  <c r="N70" i="7"/>
  <c r="L70" i="7"/>
  <c r="I70" i="7"/>
  <c r="H70" i="7"/>
  <c r="G70" i="7"/>
  <c r="F70" i="7"/>
  <c r="J70" i="7"/>
  <c r="K70" i="7"/>
  <c r="C30" i="6"/>
  <c r="G29" i="6"/>
  <c r="F29" i="6" s="1"/>
  <c r="E27" i="7"/>
  <c r="E28" i="5"/>
  <c r="N71" i="7" l="1"/>
  <c r="N24" i="5"/>
  <c r="S24" i="6"/>
  <c r="K71" i="7"/>
  <c r="L71" i="7"/>
  <c r="R24" i="6"/>
  <c r="E71" i="7"/>
  <c r="D71" i="7"/>
  <c r="I26" i="6" s="1"/>
  <c r="M71" i="7"/>
  <c r="C71" i="7"/>
  <c r="I71" i="7"/>
  <c r="J71" i="7"/>
  <c r="F71" i="7"/>
  <c r="G71" i="7"/>
  <c r="O25" i="6"/>
  <c r="L25" i="6"/>
  <c r="J25" i="5"/>
  <c r="Q25" i="6"/>
  <c r="I25" i="5"/>
  <c r="P25" i="6"/>
  <c r="H25" i="5"/>
  <c r="N25" i="6"/>
  <c r="K25" i="6"/>
  <c r="K25" i="5"/>
  <c r="M25" i="6"/>
  <c r="J25" i="6"/>
  <c r="I25" i="6"/>
  <c r="M25" i="5"/>
  <c r="H25" i="6"/>
  <c r="L25" i="5"/>
  <c r="G30" i="6"/>
  <c r="F30" i="6" s="1"/>
  <c r="C31" i="6"/>
  <c r="G27" i="7"/>
  <c r="F27" i="5"/>
  <c r="D29" i="7"/>
  <c r="D30" i="5"/>
  <c r="E28" i="7"/>
  <c r="E29" i="5"/>
  <c r="G28" i="5"/>
  <c r="C29" i="7"/>
  <c r="C30" i="5"/>
  <c r="J26" i="6" l="1"/>
  <c r="L26" i="6"/>
  <c r="N26" i="6"/>
  <c r="Q26" i="6"/>
  <c r="P26" i="6"/>
  <c r="J26" i="5"/>
  <c r="I26" i="5"/>
  <c r="K26" i="5"/>
  <c r="O26" i="6"/>
  <c r="L26" i="5"/>
  <c r="K26" i="6"/>
  <c r="H26" i="6"/>
  <c r="H26" i="5"/>
  <c r="M26" i="6"/>
  <c r="M26" i="5"/>
  <c r="S25" i="6"/>
  <c r="N25" i="5"/>
  <c r="R25" i="6"/>
  <c r="F27" i="7"/>
  <c r="H27" i="7" s="1"/>
  <c r="E29" i="7"/>
  <c r="E30" i="5"/>
  <c r="G28" i="7"/>
  <c r="F28" i="5"/>
  <c r="C32" i="6"/>
  <c r="G31" i="6"/>
  <c r="F31" i="6" s="1"/>
  <c r="C30" i="7"/>
  <c r="C31" i="5"/>
  <c r="G29" i="5"/>
  <c r="G29" i="7" s="1"/>
  <c r="D30" i="7"/>
  <c r="D31" i="5"/>
  <c r="S26" i="6" l="1"/>
  <c r="R26" i="6"/>
  <c r="N26" i="5"/>
  <c r="F29" i="5"/>
  <c r="F29" i="7" s="1"/>
  <c r="H29" i="7" s="1"/>
  <c r="I74" i="7" s="1"/>
  <c r="C33" i="6"/>
  <c r="G32" i="6"/>
  <c r="F32" i="6" s="1"/>
  <c r="C31" i="7"/>
  <c r="C32" i="5"/>
  <c r="D31" i="7"/>
  <c r="D32" i="5"/>
  <c r="F28" i="7"/>
  <c r="H28" i="7" s="1"/>
  <c r="G72" i="7"/>
  <c r="L72" i="7"/>
  <c r="K72" i="7"/>
  <c r="D72" i="7"/>
  <c r="C72" i="7"/>
  <c r="E72" i="7"/>
  <c r="H72" i="7"/>
  <c r="F72" i="7"/>
  <c r="I72" i="7"/>
  <c r="N72" i="7"/>
  <c r="M72" i="7"/>
  <c r="J72" i="7"/>
  <c r="E31" i="5"/>
  <c r="G31" i="5" s="1"/>
  <c r="G31" i="7" s="1"/>
  <c r="E30" i="7"/>
  <c r="G30" i="5"/>
  <c r="C74" i="7" l="1"/>
  <c r="F31" i="5"/>
  <c r="F31" i="7" s="1"/>
  <c r="D74" i="7"/>
  <c r="K29" i="6" s="1"/>
  <c r="F74" i="7"/>
  <c r="E74" i="7"/>
  <c r="N74" i="7"/>
  <c r="H74" i="7"/>
  <c r="K74" i="7"/>
  <c r="G74" i="7"/>
  <c r="L74" i="7"/>
  <c r="M74" i="7"/>
  <c r="J74" i="7"/>
  <c r="G30" i="7"/>
  <c r="F30" i="5"/>
  <c r="C32" i="7"/>
  <c r="C33" i="5"/>
  <c r="N73" i="7"/>
  <c r="D73" i="7"/>
  <c r="J73" i="7"/>
  <c r="I73" i="7"/>
  <c r="E73" i="7"/>
  <c r="C73" i="7"/>
  <c r="F73" i="7"/>
  <c r="M73" i="7"/>
  <c r="L73" i="7"/>
  <c r="K73" i="7"/>
  <c r="H73" i="7"/>
  <c r="G73" i="7"/>
  <c r="D32" i="7"/>
  <c r="D33" i="5"/>
  <c r="G33" i="6"/>
  <c r="F33" i="6" s="1"/>
  <c r="C34" i="6"/>
  <c r="I27" i="6"/>
  <c r="P27" i="6"/>
  <c r="M27" i="5"/>
  <c r="K27" i="5"/>
  <c r="Q27" i="6"/>
  <c r="L27" i="5"/>
  <c r="O27" i="6"/>
  <c r="M27" i="6"/>
  <c r="H27" i="6"/>
  <c r="N27" i="6"/>
  <c r="L27" i="6"/>
  <c r="J27" i="5"/>
  <c r="K27" i="6"/>
  <c r="I27" i="5"/>
  <c r="J27" i="6"/>
  <c r="H27" i="5"/>
  <c r="E31" i="7"/>
  <c r="E32" i="5"/>
  <c r="M29" i="6" l="1"/>
  <c r="L29" i="5"/>
  <c r="H31" i="7"/>
  <c r="M76" i="7" s="1"/>
  <c r="P29" i="6"/>
  <c r="K29" i="5"/>
  <c r="Q29" i="6"/>
  <c r="H29" i="6"/>
  <c r="H29" i="5"/>
  <c r="I29" i="5"/>
  <c r="I29" i="6"/>
  <c r="J29" i="5"/>
  <c r="N29" i="6"/>
  <c r="J29" i="6"/>
  <c r="M29" i="5"/>
  <c r="L29" i="6"/>
  <c r="O29" i="6"/>
  <c r="R27" i="6"/>
  <c r="N27" i="5"/>
  <c r="S27" i="6"/>
  <c r="G32" i="5"/>
  <c r="G32" i="7" s="1"/>
  <c r="C33" i="7"/>
  <c r="C34" i="5"/>
  <c r="E32" i="7"/>
  <c r="E33" i="5"/>
  <c r="G33" i="5" s="1"/>
  <c r="G33" i="7" s="1"/>
  <c r="D33" i="7"/>
  <c r="D34" i="5"/>
  <c r="C35" i="6"/>
  <c r="G34" i="6"/>
  <c r="F34" i="6" s="1"/>
  <c r="F30" i="7"/>
  <c r="H30" i="7" s="1"/>
  <c r="L28" i="6"/>
  <c r="I28" i="6"/>
  <c r="O28" i="6"/>
  <c r="L28" i="5"/>
  <c r="N28" i="6"/>
  <c r="K28" i="5"/>
  <c r="I28" i="5"/>
  <c r="M28" i="6"/>
  <c r="J28" i="5"/>
  <c r="K28" i="6"/>
  <c r="H28" i="6"/>
  <c r="P28" i="6"/>
  <c r="M28" i="5"/>
  <c r="Q28" i="6"/>
  <c r="J28" i="6"/>
  <c r="H28" i="5"/>
  <c r="C76" i="7" l="1"/>
  <c r="N76" i="7"/>
  <c r="D76" i="7"/>
  <c r="Q31" i="6" s="1"/>
  <c r="E76" i="7"/>
  <c r="H76" i="7"/>
  <c r="G76" i="7"/>
  <c r="F76" i="7"/>
  <c r="L76" i="7"/>
  <c r="I76" i="7"/>
  <c r="J76" i="7"/>
  <c r="S29" i="6"/>
  <c r="K76" i="7"/>
  <c r="N29" i="5"/>
  <c r="R29" i="6"/>
  <c r="S28" i="6"/>
  <c r="F32" i="5"/>
  <c r="F32" i="7" s="1"/>
  <c r="H32" i="7" s="1"/>
  <c r="R28" i="6"/>
  <c r="N28" i="5"/>
  <c r="C34" i="7"/>
  <c r="C35" i="5"/>
  <c r="F33" i="5"/>
  <c r="D34" i="7"/>
  <c r="D35" i="5"/>
  <c r="C36" i="6"/>
  <c r="G35" i="6"/>
  <c r="F35" i="6" s="1"/>
  <c r="H75" i="7"/>
  <c r="F75" i="7"/>
  <c r="E75" i="7"/>
  <c r="D75" i="7"/>
  <c r="J75" i="7"/>
  <c r="I75" i="7"/>
  <c r="G75" i="7"/>
  <c r="K75" i="7"/>
  <c r="N75" i="7"/>
  <c r="M75" i="7"/>
  <c r="L75" i="7"/>
  <c r="C75" i="7"/>
  <c r="E33" i="7"/>
  <c r="E34" i="5"/>
  <c r="K31" i="6" l="1"/>
  <c r="J31" i="6"/>
  <c r="K31" i="5"/>
  <c r="H31" i="5"/>
  <c r="I31" i="5"/>
  <c r="H31" i="6"/>
  <c r="J31" i="5"/>
  <c r="P31" i="6"/>
  <c r="O31" i="6"/>
  <c r="I31" i="6"/>
  <c r="L31" i="6"/>
  <c r="L31" i="5"/>
  <c r="M31" i="5"/>
  <c r="M31" i="6"/>
  <c r="N31" i="6"/>
  <c r="H77" i="7"/>
  <c r="J77" i="7"/>
  <c r="G77" i="7"/>
  <c r="M77" i="7"/>
  <c r="F77" i="7"/>
  <c r="L77" i="7"/>
  <c r="N77" i="7"/>
  <c r="C77" i="7"/>
  <c r="K77" i="7"/>
  <c r="E77" i="7"/>
  <c r="D77" i="7"/>
  <c r="L32" i="5" s="1"/>
  <c r="I77" i="7"/>
  <c r="H30" i="6"/>
  <c r="O30" i="6"/>
  <c r="H30" i="5"/>
  <c r="Q30" i="6"/>
  <c r="P30" i="6"/>
  <c r="N30" i="6"/>
  <c r="L30" i="6"/>
  <c r="I30" i="5"/>
  <c r="I30" i="6"/>
  <c r="M30" i="5"/>
  <c r="L30" i="5"/>
  <c r="M30" i="6"/>
  <c r="K30" i="5"/>
  <c r="K30" i="6"/>
  <c r="J30" i="5"/>
  <c r="J30" i="6"/>
  <c r="F33" i="7"/>
  <c r="H33" i="7" s="1"/>
  <c r="E34" i="7"/>
  <c r="E35" i="5"/>
  <c r="D35" i="7"/>
  <c r="D36" i="5"/>
  <c r="C35" i="7"/>
  <c r="C36" i="5"/>
  <c r="C37" i="6"/>
  <c r="G36" i="6"/>
  <c r="F36" i="6" s="1"/>
  <c r="G34" i="5"/>
  <c r="G34" i="7" s="1"/>
  <c r="R31" i="6" l="1"/>
  <c r="S31" i="6"/>
  <c r="H32" i="6"/>
  <c r="L32" i="6"/>
  <c r="N31" i="5"/>
  <c r="M32" i="5"/>
  <c r="J32" i="6"/>
  <c r="K32" i="5"/>
  <c r="I32" i="6"/>
  <c r="K32" i="6"/>
  <c r="O32" i="6"/>
  <c r="H32" i="5"/>
  <c r="M32" i="6"/>
  <c r="P32" i="6"/>
  <c r="N32" i="6"/>
  <c r="I32" i="5"/>
  <c r="Q32" i="6"/>
  <c r="J32" i="5"/>
  <c r="S30" i="6"/>
  <c r="N30" i="5"/>
  <c r="R30" i="6"/>
  <c r="I78" i="7"/>
  <c r="L78" i="7"/>
  <c r="K78" i="7"/>
  <c r="J78" i="7"/>
  <c r="C78" i="7"/>
  <c r="N78" i="7"/>
  <c r="D78" i="7"/>
  <c r="G78" i="7"/>
  <c r="F78" i="7"/>
  <c r="E78" i="7"/>
  <c r="H78" i="7"/>
  <c r="M78" i="7"/>
  <c r="E35" i="7"/>
  <c r="E36" i="5"/>
  <c r="G37" i="6"/>
  <c r="F37" i="6" s="1"/>
  <c r="C38" i="6"/>
  <c r="C37" i="5"/>
  <c r="C36" i="7"/>
  <c r="G35" i="5"/>
  <c r="G35" i="7" s="1"/>
  <c r="D36" i="7"/>
  <c r="D37" i="5"/>
  <c r="F34" i="5"/>
  <c r="R32" i="6" l="1"/>
  <c r="N32" i="5"/>
  <c r="S32" i="6"/>
  <c r="F34" i="7"/>
  <c r="H34" i="7" s="1"/>
  <c r="F35" i="5"/>
  <c r="G38" i="6"/>
  <c r="F38" i="6" s="1"/>
  <c r="C39" i="6"/>
  <c r="E36" i="7"/>
  <c r="E37" i="5"/>
  <c r="G37" i="5" s="1"/>
  <c r="G37" i="7" s="1"/>
  <c r="D37" i="7"/>
  <c r="D38" i="5"/>
  <c r="Q33" i="6"/>
  <c r="P33" i="6"/>
  <c r="M33" i="6"/>
  <c r="I33" i="6"/>
  <c r="L33" i="5"/>
  <c r="H33" i="6"/>
  <c r="K33" i="5"/>
  <c r="I33" i="5"/>
  <c r="J33" i="5"/>
  <c r="O33" i="6"/>
  <c r="J33" i="6"/>
  <c r="M33" i="5"/>
  <c r="N33" i="6"/>
  <c r="L33" i="6"/>
  <c r="K33" i="6"/>
  <c r="H33" i="5"/>
  <c r="G36" i="5"/>
  <c r="G36" i="7" s="1"/>
  <c r="C37" i="7"/>
  <c r="C38" i="5"/>
  <c r="F37" i="5" l="1"/>
  <c r="F37" i="7" s="1"/>
  <c r="N33" i="5"/>
  <c r="R33" i="6"/>
  <c r="S33" i="6"/>
  <c r="C40" i="6"/>
  <c r="G39" i="6"/>
  <c r="F39" i="6" s="1"/>
  <c r="F36" i="5"/>
  <c r="F79" i="7"/>
  <c r="J79" i="7"/>
  <c r="I79" i="7"/>
  <c r="H79" i="7"/>
  <c r="D79" i="7"/>
  <c r="C79" i="7"/>
  <c r="E79" i="7"/>
  <c r="N79" i="7"/>
  <c r="L79" i="7"/>
  <c r="G79" i="7"/>
  <c r="M79" i="7"/>
  <c r="K79" i="7"/>
  <c r="C38" i="7"/>
  <c r="C39" i="5"/>
  <c r="D38" i="7"/>
  <c r="D39" i="5"/>
  <c r="E37" i="7"/>
  <c r="E38" i="5"/>
  <c r="F35" i="7"/>
  <c r="H35" i="7" s="1"/>
  <c r="H37" i="7" l="1"/>
  <c r="F36" i="7"/>
  <c r="H36" i="7" s="1"/>
  <c r="E39" i="5"/>
  <c r="E38" i="7"/>
  <c r="D39" i="7"/>
  <c r="D40" i="5"/>
  <c r="C39" i="7"/>
  <c r="C40" i="5"/>
  <c r="J34" i="6"/>
  <c r="I34" i="6"/>
  <c r="P34" i="6"/>
  <c r="J34" i="5"/>
  <c r="I34" i="5"/>
  <c r="Q34" i="6"/>
  <c r="H34" i="5"/>
  <c r="O34" i="6"/>
  <c r="M34" i="6"/>
  <c r="K34" i="5"/>
  <c r="M34" i="5"/>
  <c r="L34" i="5"/>
  <c r="N34" i="6"/>
  <c r="L34" i="6"/>
  <c r="K34" i="6"/>
  <c r="H34" i="6"/>
  <c r="G82" i="7"/>
  <c r="D82" i="7"/>
  <c r="G38" i="5"/>
  <c r="G38" i="7" s="1"/>
  <c r="G40" i="6"/>
  <c r="F40" i="6" s="1"/>
  <c r="C41" i="6"/>
  <c r="M80" i="7"/>
  <c r="C80" i="7"/>
  <c r="H80" i="7"/>
  <c r="G80" i="7"/>
  <c r="F80" i="7"/>
  <c r="I80" i="7"/>
  <c r="E80" i="7"/>
  <c r="D80" i="7"/>
  <c r="J80" i="7"/>
  <c r="N80" i="7"/>
  <c r="L80" i="7"/>
  <c r="K80" i="7"/>
  <c r="N82" i="7" l="1"/>
  <c r="C82" i="7"/>
  <c r="M82" i="7"/>
  <c r="L82" i="7"/>
  <c r="K82" i="7"/>
  <c r="J82" i="7"/>
  <c r="I82" i="7"/>
  <c r="H82" i="7"/>
  <c r="F82" i="7"/>
  <c r="E82" i="7"/>
  <c r="F38" i="5"/>
  <c r="F38" i="7" s="1"/>
  <c r="H38" i="7" s="1"/>
  <c r="G83" i="7" s="1"/>
  <c r="S34" i="6"/>
  <c r="R34" i="6"/>
  <c r="N34" i="5"/>
  <c r="G39" i="5"/>
  <c r="G39" i="7" s="1"/>
  <c r="D40" i="7"/>
  <c r="D41" i="5"/>
  <c r="M35" i="6"/>
  <c r="L35" i="6"/>
  <c r="I35" i="6"/>
  <c r="Q35" i="6"/>
  <c r="H35" i="5"/>
  <c r="P35" i="6"/>
  <c r="O35" i="6"/>
  <c r="N35" i="6"/>
  <c r="J35" i="6"/>
  <c r="I35" i="5"/>
  <c r="K35" i="6"/>
  <c r="H35" i="6"/>
  <c r="M35" i="5"/>
  <c r="L35" i="5"/>
  <c r="K35" i="5"/>
  <c r="J35" i="5"/>
  <c r="C42" i="6"/>
  <c r="G41" i="6"/>
  <c r="F41" i="6" s="1"/>
  <c r="J81" i="7"/>
  <c r="F81" i="7"/>
  <c r="E81" i="7"/>
  <c r="D81" i="7"/>
  <c r="K81" i="7"/>
  <c r="I81" i="7"/>
  <c r="H81" i="7"/>
  <c r="G81" i="7"/>
  <c r="L81" i="7"/>
  <c r="N81" i="7"/>
  <c r="M81" i="7"/>
  <c r="C81" i="7"/>
  <c r="E39" i="7"/>
  <c r="E40" i="5"/>
  <c r="G40" i="5" s="1"/>
  <c r="C40" i="7"/>
  <c r="C41" i="5"/>
  <c r="I37" i="6"/>
  <c r="H37" i="6"/>
  <c r="O37" i="6"/>
  <c r="L37" i="6"/>
  <c r="K37" i="6"/>
  <c r="M37" i="5"/>
  <c r="K37" i="5"/>
  <c r="J37" i="6"/>
  <c r="L37" i="5"/>
  <c r="M37" i="6"/>
  <c r="Q37" i="6"/>
  <c r="P37" i="6"/>
  <c r="N37" i="6"/>
  <c r="J37" i="5"/>
  <c r="I37" i="5"/>
  <c r="H37" i="5"/>
  <c r="I83" i="7" l="1"/>
  <c r="N83" i="7"/>
  <c r="E83" i="7"/>
  <c r="F39" i="5"/>
  <c r="F39" i="7" s="1"/>
  <c r="H39" i="7" s="1"/>
  <c r="D84" i="7" s="1"/>
  <c r="J83" i="7"/>
  <c r="L83" i="7"/>
  <c r="K83" i="7"/>
  <c r="M83" i="7"/>
  <c r="D83" i="7"/>
  <c r="L38" i="5" s="1"/>
  <c r="H83" i="7"/>
  <c r="F83" i="7"/>
  <c r="C83" i="7"/>
  <c r="R35" i="6"/>
  <c r="N37" i="5"/>
  <c r="S37" i="6"/>
  <c r="S35" i="6"/>
  <c r="R37" i="6"/>
  <c r="N35" i="5"/>
  <c r="G40" i="7"/>
  <c r="F40" i="5"/>
  <c r="C41" i="7"/>
  <c r="C42" i="5"/>
  <c r="D41" i="7"/>
  <c r="D42" i="5"/>
  <c r="P36" i="6"/>
  <c r="O36" i="6"/>
  <c r="L36" i="6"/>
  <c r="N36" i="6"/>
  <c r="M36" i="6"/>
  <c r="M36" i="5"/>
  <c r="K36" i="6"/>
  <c r="J36" i="6"/>
  <c r="H36" i="6"/>
  <c r="Q36" i="6"/>
  <c r="J36" i="5"/>
  <c r="I36" i="5"/>
  <c r="H36" i="5"/>
  <c r="K36" i="5"/>
  <c r="I36" i="6"/>
  <c r="L36" i="5"/>
  <c r="C43" i="6"/>
  <c r="G42" i="6"/>
  <c r="F42" i="6" s="1"/>
  <c r="E40" i="7"/>
  <c r="E41" i="5"/>
  <c r="G41" i="5" s="1"/>
  <c r="G41" i="7" s="1"/>
  <c r="N84" i="7" l="1"/>
  <c r="I84" i="7"/>
  <c r="F84" i="7"/>
  <c r="H84" i="7"/>
  <c r="J84" i="7"/>
  <c r="G84" i="7"/>
  <c r="L84" i="7"/>
  <c r="M84" i="7"/>
  <c r="K84" i="7"/>
  <c r="E84" i="7"/>
  <c r="C84" i="7"/>
  <c r="H38" i="5"/>
  <c r="K38" i="5"/>
  <c r="I38" i="6"/>
  <c r="H38" i="6"/>
  <c r="K38" i="6"/>
  <c r="L38" i="6"/>
  <c r="M38" i="5"/>
  <c r="J38" i="6"/>
  <c r="I38" i="5"/>
  <c r="N38" i="6"/>
  <c r="Q38" i="6"/>
  <c r="O38" i="6"/>
  <c r="P38" i="6"/>
  <c r="J38" i="5"/>
  <c r="S36" i="6"/>
  <c r="M38" i="6"/>
  <c r="N36" i="5"/>
  <c r="R36" i="6"/>
  <c r="O39" i="6"/>
  <c r="N39" i="6"/>
  <c r="K39" i="6"/>
  <c r="J39" i="5"/>
  <c r="I39" i="5"/>
  <c r="H39" i="5"/>
  <c r="Q39" i="6"/>
  <c r="M39" i="6"/>
  <c r="H39" i="6"/>
  <c r="K39" i="5"/>
  <c r="P39" i="6"/>
  <c r="M39" i="5"/>
  <c r="L39" i="5"/>
  <c r="L39" i="6"/>
  <c r="J39" i="6"/>
  <c r="I39" i="6"/>
  <c r="F41" i="5"/>
  <c r="F41" i="7" s="1"/>
  <c r="E41" i="7"/>
  <c r="E42" i="5"/>
  <c r="G42" i="5" s="1"/>
  <c r="G42" i="7" s="1"/>
  <c r="C42" i="7"/>
  <c r="C43" i="5"/>
  <c r="D42" i="7"/>
  <c r="D43" i="5"/>
  <c r="F40" i="7"/>
  <c r="H40" i="7" s="1"/>
  <c r="G43" i="6"/>
  <c r="F43" i="6" s="1"/>
  <c r="C44" i="6"/>
  <c r="R38" i="6" l="1"/>
  <c r="S38" i="6"/>
  <c r="N38" i="5"/>
  <c r="H41" i="7"/>
  <c r="D86" i="7" s="1"/>
  <c r="S39" i="6"/>
  <c r="R39" i="6"/>
  <c r="N39" i="5"/>
  <c r="H85" i="7"/>
  <c r="J85" i="7"/>
  <c r="I85" i="7"/>
  <c r="G85" i="7"/>
  <c r="E85" i="7"/>
  <c r="D85" i="7"/>
  <c r="C85" i="7"/>
  <c r="F85" i="7"/>
  <c r="M85" i="7"/>
  <c r="L85" i="7"/>
  <c r="K85" i="7"/>
  <c r="N85" i="7"/>
  <c r="C43" i="7"/>
  <c r="C44" i="5"/>
  <c r="F29" i="1" s="1"/>
  <c r="F42" i="5"/>
  <c r="G44" i="6"/>
  <c r="F44" i="6" s="1"/>
  <c r="E42" i="7"/>
  <c r="E43" i="5"/>
  <c r="G43" i="5" s="1"/>
  <c r="G43" i="7" s="1"/>
  <c r="D43" i="7"/>
  <c r="D44" i="5"/>
  <c r="I86" i="7" l="1"/>
  <c r="J86" i="7"/>
  <c r="G86" i="7"/>
  <c r="F86" i="7"/>
  <c r="N86" i="7"/>
  <c r="L86" i="7"/>
  <c r="M86" i="7"/>
  <c r="H86" i="7"/>
  <c r="E86" i="7"/>
  <c r="K86" i="7"/>
  <c r="C86" i="7"/>
  <c r="F33" i="1"/>
  <c r="D44" i="7"/>
  <c r="F30" i="1"/>
  <c r="F43" i="5"/>
  <c r="F43" i="7" s="1"/>
  <c r="F42" i="7"/>
  <c r="H42" i="7" s="1"/>
  <c r="E43" i="7"/>
  <c r="E44" i="5"/>
  <c r="E44" i="7" s="1"/>
  <c r="H40" i="6"/>
  <c r="Q40" i="6"/>
  <c r="K40" i="5"/>
  <c r="N40" i="6"/>
  <c r="H40" i="5"/>
  <c r="P40" i="6"/>
  <c r="O40" i="6"/>
  <c r="M40" i="6"/>
  <c r="K40" i="6"/>
  <c r="I40" i="5"/>
  <c r="I40" i="6"/>
  <c r="M40" i="5"/>
  <c r="L40" i="5"/>
  <c r="L40" i="6"/>
  <c r="J40" i="5"/>
  <c r="J40" i="6"/>
  <c r="C44" i="7"/>
  <c r="K41" i="6"/>
  <c r="J41" i="6"/>
  <c r="I41" i="5"/>
  <c r="Q41" i="6"/>
  <c r="O41" i="6"/>
  <c r="N41" i="6"/>
  <c r="M41" i="6"/>
  <c r="L41" i="6"/>
  <c r="H41" i="6"/>
  <c r="P41" i="6"/>
  <c r="H41" i="5"/>
  <c r="L41" i="5"/>
  <c r="K41" i="5"/>
  <c r="J41" i="5"/>
  <c r="I41" i="6"/>
  <c r="M41" i="5"/>
  <c r="F32" i="1" l="1"/>
  <c r="F34" i="1" s="1"/>
  <c r="N40" i="5"/>
  <c r="S41" i="6"/>
  <c r="H43" i="7"/>
  <c r="E88" i="7" s="1"/>
  <c r="S40" i="6"/>
  <c r="R40" i="6"/>
  <c r="G44" i="5"/>
  <c r="G44" i="7" s="1"/>
  <c r="N41" i="5"/>
  <c r="R41" i="6"/>
  <c r="L87" i="7"/>
  <c r="F87" i="7"/>
  <c r="E87" i="7"/>
  <c r="D87" i="7"/>
  <c r="K87" i="7"/>
  <c r="J87" i="7"/>
  <c r="I87" i="7"/>
  <c r="H87" i="7"/>
  <c r="M87" i="7"/>
  <c r="N87" i="7"/>
  <c r="G87" i="7"/>
  <c r="C87" i="7"/>
  <c r="N88" i="7" l="1"/>
  <c r="L22" i="1"/>
  <c r="J88" i="7"/>
  <c r="F88" i="7"/>
  <c r="K88" i="7"/>
  <c r="L88" i="7"/>
  <c r="M88" i="7"/>
  <c r="F44" i="5"/>
  <c r="F44" i="7" s="1"/>
  <c r="H44" i="7" s="1"/>
  <c r="M89" i="7" s="1"/>
  <c r="C88" i="7"/>
  <c r="H88" i="7"/>
  <c r="D88" i="7"/>
  <c r="M43" i="6" s="1"/>
  <c r="G88" i="7"/>
  <c r="I88" i="7"/>
  <c r="N42" i="6"/>
  <c r="M42" i="6"/>
  <c r="J42" i="6"/>
  <c r="P42" i="6"/>
  <c r="L42" i="6"/>
  <c r="K42" i="6"/>
  <c r="I42" i="6"/>
  <c r="H42" i="6"/>
  <c r="O42" i="6"/>
  <c r="H42" i="5"/>
  <c r="M42" i="5"/>
  <c r="L42" i="5"/>
  <c r="K42" i="5"/>
  <c r="J42" i="5"/>
  <c r="I42" i="5"/>
  <c r="Q42" i="6"/>
  <c r="E89" i="7" l="1"/>
  <c r="G89" i="7"/>
  <c r="H89" i="7"/>
  <c r="I89" i="7"/>
  <c r="C89" i="7"/>
  <c r="J89" i="7"/>
  <c r="F89" i="7"/>
  <c r="I43" i="5"/>
  <c r="J43" i="5"/>
  <c r="N43" i="6"/>
  <c r="H43" i="6"/>
  <c r="M43" i="5"/>
  <c r="J43" i="6"/>
  <c r="K43" i="6"/>
  <c r="P43" i="6"/>
  <c r="K89" i="7"/>
  <c r="N89" i="7"/>
  <c r="L89" i="7"/>
  <c r="Q43" i="6"/>
  <c r="L43" i="5"/>
  <c r="D89" i="7"/>
  <c r="F36" i="1" s="1"/>
  <c r="L43" i="6"/>
  <c r="O43" i="6"/>
  <c r="K43" i="5"/>
  <c r="I43" i="6"/>
  <c r="H43" i="5"/>
  <c r="N42" i="5"/>
  <c r="S42" i="6"/>
  <c r="R42" i="6"/>
  <c r="Q44" i="6" l="1"/>
  <c r="N44" i="6"/>
  <c r="K44" i="5"/>
  <c r="L44" i="5"/>
  <c r="I44" i="5"/>
  <c r="S43" i="6"/>
  <c r="K44" i="6"/>
  <c r="J44" i="5"/>
  <c r="M44" i="6"/>
  <c r="H44" i="6"/>
  <c r="I44" i="6"/>
  <c r="P44" i="6"/>
  <c r="N43" i="5"/>
  <c r="M44" i="5"/>
  <c r="O44" i="6"/>
  <c r="H44" i="5"/>
  <c r="J44" i="6"/>
  <c r="R43" i="6"/>
  <c r="L38" i="1"/>
  <c r="L34" i="1"/>
  <c r="L29" i="1"/>
  <c r="L37" i="1"/>
  <c r="L31" i="1"/>
  <c r="L39" i="1"/>
  <c r="L33" i="1"/>
  <c r="L30" i="1"/>
  <c r="L32" i="1"/>
  <c r="L40" i="1"/>
  <c r="L44" i="6"/>
  <c r="L41" i="1" l="1"/>
  <c r="L24" i="1" s="1"/>
  <c r="N44" i="5"/>
  <c r="S44" i="6"/>
  <c r="R44" i="6"/>
  <c r="L35" i="1"/>
  <c r="L23" i="1" l="1"/>
  <c r="I1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OpenAI</author>
  </authors>
  <commentList>
    <comment ref="F17" authorId="0" shapeId="0" xr:uid="{00000000-0006-0000-0000-000001000000}">
      <text>
        <r>
          <rPr>
            <sz val="11"/>
            <color rgb="FF000000"/>
            <rFont val="Calibri"/>
            <family val="2"/>
          </rPr>
          <t>Escribe un número entero entre 1 y 39.</t>
        </r>
      </text>
    </comment>
    <comment ref="F19" authorId="0" shapeId="0" xr:uid="{00000000-0006-0000-0000-000002000000}">
      <text>
        <r>
          <rPr>
            <sz val="11"/>
            <color rgb="FF000000"/>
            <rFont val="Calibri"/>
            <family val="2"/>
          </rPr>
          <t>Escribe la fecha de alta/antigüedad. Ejemplo: 29/05/2001</t>
        </r>
      </text>
    </comment>
    <comment ref="F21" authorId="0" shapeId="0" xr:uid="{00000000-0006-0000-0000-000003000000}">
      <text>
        <r>
          <rPr>
            <sz val="11"/>
            <color rgb="FF000000"/>
            <rFont val="Calibri"/>
            <family val="2"/>
          </rPr>
          <t>Elige el mes para calcular el coste.</t>
        </r>
      </text>
    </comment>
  </commentList>
</comments>
</file>

<file path=xl/sharedStrings.xml><?xml version="1.0" encoding="utf-8"?>
<sst xmlns="http://schemas.openxmlformats.org/spreadsheetml/2006/main" count="206" uniqueCount="96">
  <si>
    <t>Enero</t>
  </si>
  <si>
    <t>Febrero</t>
  </si>
  <si>
    <t>Marzo</t>
  </si>
  <si>
    <t>Abril</t>
  </si>
  <si>
    <t>Mayo</t>
  </si>
  <si>
    <t>Junio</t>
  </si>
  <si>
    <t>Nº horas/semana</t>
  </si>
  <si>
    <t>Coste total empresa</t>
  </si>
  <si>
    <t>Julio</t>
  </si>
  <si>
    <t>Agosto</t>
  </si>
  <si>
    <t>Fecha de antigüedad</t>
  </si>
  <si>
    <t>Septiembre</t>
  </si>
  <si>
    <t>Octubre</t>
  </si>
  <si>
    <t>Mes del cálculo</t>
  </si>
  <si>
    <t>Noviembre</t>
  </si>
  <si>
    <t>Bruto mensual</t>
  </si>
  <si>
    <t>Diciembre</t>
  </si>
  <si>
    <t>Fecha de cálculo</t>
  </si>
  <si>
    <t>SS empresa</t>
  </si>
  <si>
    <t>Años completos</t>
  </si>
  <si>
    <t>Neto trabajador/a</t>
  </si>
  <si>
    <t>Trienios</t>
  </si>
  <si>
    <t>Desglose salarial</t>
  </si>
  <si>
    <t>Cotización</t>
  </si>
  <si>
    <t>Salario base</t>
  </si>
  <si>
    <t>Plus convenio</t>
  </si>
  <si>
    <t>AT y EP</t>
  </si>
  <si>
    <t>Antigüedad</t>
  </si>
  <si>
    <t>Comp. SMI</t>
  </si>
  <si>
    <t>P.p. extras</t>
  </si>
  <si>
    <t>FOGASA</t>
  </si>
  <si>
    <t>MEI empresa</t>
  </si>
  <si>
    <t>Total SS empresa</t>
  </si>
  <si>
    <t>Base cotización mes</t>
  </si>
  <si>
    <t>Formación trabajador/a</t>
  </si>
  <si>
    <t>Notas</t>
  </si>
  <si>
    <t>Desempleo trabajador/a</t>
  </si>
  <si>
    <t>MEI trabajador/a</t>
  </si>
  <si>
    <t>CATEGORIA LIMPIADORA AÑO 2026</t>
  </si>
  <si>
    <t>solo modificar lo que está en azul</t>
  </si>
  <si>
    <t>Contribución Seguridad Social</t>
  </si>
  <si>
    <t>el resto no tocar</t>
  </si>
  <si>
    <t>Nº horas
/semana</t>
  </si>
  <si>
    <t xml:space="preserve"> Salario Base</t>
  </si>
  <si>
    <t>Plus Convenio 
Salarial</t>
  </si>
  <si>
    <t>Com SMI absor y 
compensable</t>
  </si>
  <si>
    <t>P.p extras</t>
  </si>
  <si>
    <t>Contingencias 
comunes</t>
  </si>
  <si>
    <t>MEI</t>
  </si>
  <si>
    <t>Desempleo</t>
  </si>
  <si>
    <t>Formación 
Profesional</t>
  </si>
  <si>
    <t>Fondo Garantía 
Salarial</t>
  </si>
  <si>
    <t>COSTE TOTAL 
EMPRESA</t>
  </si>
  <si>
    <t>Salario Mínimo Interporfesional (12 pagas) 2026</t>
  </si>
  <si>
    <t xml:space="preserve">Meses </t>
  </si>
  <si>
    <t>nº días lab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</si>
  <si>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</si>
  <si>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</si>
  <si>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</si>
  <si>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</si>
  <si>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</si>
  <si>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</si>
  <si>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</si>
  <si>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</si>
  <si>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</si>
  <si>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</si>
  <si>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</si>
  <si>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</si>
  <si>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Base cotización mínima 2026</t>
  </si>
  <si>
    <t>% Contingencias comunes</t>
  </si>
  <si>
    <t>ok</t>
  </si>
  <si>
    <t>% AT y EP</t>
  </si>
  <si>
    <t>% desempleo</t>
  </si>
  <si>
    <t>% Formación Profesional</t>
  </si>
  <si>
    <t>% Fondo Garantía Salarial</t>
  </si>
  <si>
    <t>% MEI</t>
  </si>
  <si>
    <t>Cotización SS trabajador</t>
  </si>
  <si>
    <t>Formación</t>
  </si>
  <si>
    <t xml:space="preserve">NETO TRABAJADOR
</t>
  </si>
  <si>
    <t>% COTIZACION SEGURIDAD SOCIAL TRABAJADOR</t>
  </si>
  <si>
    <t>% Formación</t>
  </si>
  <si>
    <t>TOTAL</t>
  </si>
  <si>
    <t>VALORES A COGER POR MESES</t>
  </si>
  <si>
    <t>Plantilla de calendario anual</t>
  </si>
  <si>
    <t xml:space="preserve">Año </t>
  </si>
  <si>
    <t xml:space="preserve">Mes </t>
  </si>
  <si>
    <t xml:space="preserve">Día de inicio </t>
  </si>
  <si>
    <t>1:Dom, 2:Lun...</t>
  </si>
  <si>
    <t xml:space="preserve">Calendario Laboral Castellón </t>
  </si>
  <si>
    <t>días laborales</t>
  </si>
  <si>
    <t>Costes empleada/o - Limpieza 2026</t>
  </si>
  <si>
    <t>Contingencias Comunes Empresa</t>
  </si>
  <si>
    <t>Desempleo Empresa</t>
  </si>
  <si>
    <t>Formación Empresa</t>
  </si>
  <si>
    <t>Contingencias Comunes trabajador/a</t>
  </si>
  <si>
    <t>Datos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</si>
</sst>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€&quot;_-;\-* #,##0.00\ &quot;€&quot;_-;_-* &quot;-&quot;??\ &quot;€&quot;_-;_-@_-"/>
    <numFmt numFmtId="164" formatCode="d"/>
    <numFmt numFmtId="165" formatCode="#,##0.00\ &quot;€&quot;"/>
    <numFmt numFmtId="166" formatCode="mmmm\ \'yy"/>
    <numFmt numFmtId="167" formatCode="#,##0.00\ \€"/>
    <numFmt numFmtId="168" formatCode="dd/mm/yyyy"/>
  </numFmts>
  <fonts count="5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Garamond"/>
      <family val="1"/>
    </font>
    <font>
      <b/>
      <sz val="11"/>
      <color theme="1"/>
      <name val="Garamond"/>
      <family val="1"/>
    </font>
    <font>
      <b/>
      <i/>
      <sz val="11"/>
      <color theme="1"/>
      <name val="Garamond"/>
      <family val="1"/>
    </font>
    <font>
      <sz val="9"/>
      <color theme="1"/>
      <name val="Courier"/>
      <family val="1"/>
    </font>
    <font>
      <sz val="11"/>
      <color rgb="FFC00000"/>
      <name val="Garamond"/>
      <family val="1"/>
    </font>
    <font>
      <sz val="9"/>
      <color theme="1"/>
      <name val="Helvetica"/>
      <family val="2"/>
    </font>
    <font>
      <b/>
      <sz val="11"/>
      <color rgb="FFFF0000"/>
      <name val="Garamond"/>
      <family val="1"/>
    </font>
    <font>
      <b/>
      <u/>
      <sz val="11"/>
      <color theme="1"/>
      <name val="Garamond"/>
      <family val="1"/>
    </font>
    <font>
      <b/>
      <sz val="11"/>
      <color theme="8" tint="-0.249977111117893"/>
      <name val="Garamond"/>
      <family val="1"/>
    </font>
    <font>
      <b/>
      <sz val="11"/>
      <color theme="0"/>
      <name val="Garamond"/>
      <family val="1"/>
    </font>
    <font>
      <sz val="10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10"/>
      <name val="Tahoma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u/>
      <sz val="10"/>
      <color indexed="12"/>
      <name val="Tahoma"/>
      <family val="2"/>
    </font>
    <font>
      <sz val="10"/>
      <color theme="1" tint="0.249977111117893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b/>
      <sz val="42"/>
      <color theme="4" tint="-0.249977111117893"/>
      <name val="Calibri"/>
      <family val="2"/>
      <scheme val="minor"/>
    </font>
    <font>
      <b/>
      <sz val="20"/>
      <color theme="1" tint="0.34998626667073579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4"/>
      <name val="Calibri"/>
      <family val="2"/>
      <scheme val="minor"/>
    </font>
    <font>
      <sz val="16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15"/>
      <name val="Calibri"/>
      <family val="2"/>
      <scheme val="minor"/>
    </font>
    <font>
      <sz val="12"/>
      <name val="Calibri"/>
      <family val="2"/>
      <scheme val="minor"/>
    </font>
    <font>
      <b/>
      <sz val="10"/>
      <color theme="1" tint="0.249977111117893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 tint="0.34998626667073579"/>
      <name val="Calibri"/>
      <family val="2"/>
      <scheme val="minor"/>
    </font>
    <font>
      <sz val="11"/>
      <color theme="0"/>
      <name val="Garamond"/>
      <family val="1"/>
    </font>
    <font>
      <sz val="11"/>
      <color theme="8" tint="-0.249977111117893"/>
      <name val="Garamond"/>
      <family val="1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B050"/>
      <name val="Garamond"/>
      <family val="1"/>
    </font>
    <font>
      <sz val="11"/>
      <color rgb="FFFF0000"/>
      <name val="Garamond"/>
      <family val="1"/>
    </font>
    <font>
      <b/>
      <sz val="18"/>
      <color rgb="FFFFFFFF"/>
      <name val="Calibri"/>
      <family val="2"/>
    </font>
    <font>
      <i/>
      <sz val="11"/>
      <color rgb="FF163A5F"/>
      <name val="Calibri"/>
      <family val="2"/>
    </font>
    <font>
      <b/>
      <sz val="13"/>
      <color rgb="FFFFFFFF"/>
      <name val="Calibri"/>
      <family val="2"/>
    </font>
    <font>
      <sz val="11"/>
      <color rgb="FF1F2937"/>
      <name val="Calibri"/>
      <family val="2"/>
    </font>
    <font>
      <b/>
      <sz val="11"/>
      <color rgb="FF1F2937"/>
      <name val="Calibri"/>
      <family val="2"/>
    </font>
    <font>
      <b/>
      <sz val="11"/>
      <color rgb="FF0000FF"/>
      <name val="Calibri"/>
      <family val="2"/>
    </font>
    <font>
      <b/>
      <sz val="24"/>
      <color rgb="FF163A5F"/>
      <name val="Calibri"/>
      <family val="2"/>
    </font>
    <font>
      <b/>
      <sz val="12"/>
      <color rgb="FF163A5F"/>
      <name val="Calibri"/>
      <family val="2"/>
    </font>
    <font>
      <b/>
      <sz val="12"/>
      <color rgb="FFFFFFFF"/>
      <name val="Calibri"/>
      <family val="2"/>
    </font>
    <font>
      <b/>
      <sz val="11"/>
      <color rgb="FF163A5F"/>
      <name val="Calibri"/>
      <family val="2"/>
    </font>
    <font>
      <sz val="11"/>
      <color rgb="FF000000"/>
      <name val="Calibri"/>
      <family val="2"/>
    </font>
    <font>
      <b/>
      <sz val="12"/>
      <color theme="1"/>
      <name val="Calibri (Cuerpo)"/>
    </font>
    <font>
      <sz val="11"/>
      <color theme="1"/>
      <name val="Calibri (Cuerpo)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163A5F"/>
      </patternFill>
    </fill>
    <fill>
      <patternFill patternType="solid">
        <fgColor rgb="FFFFFFFF"/>
      </patternFill>
    </fill>
    <fill>
      <patternFill patternType="solid">
        <fgColor rgb="FFDCEBFF"/>
      </patternFill>
    </fill>
    <fill>
      <patternFill patternType="solid">
        <fgColor rgb="FFD9F0F3"/>
      </patternFill>
    </fill>
    <fill>
      <patternFill patternType="solid">
        <fgColor rgb="FFF3F5F7"/>
      </patternFill>
    </fill>
    <fill>
      <patternFill patternType="solid">
        <fgColor theme="4" tint="-0.499984740745262"/>
        <bgColor indexed="64"/>
      </patternFill>
    </fill>
  </fills>
  <borders count="5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C7D0D9"/>
      </left>
      <right style="thin">
        <color rgb="FFC7D0D9"/>
      </right>
      <top style="thin">
        <color rgb="FFC7D0D9"/>
      </top>
      <bottom style="thin">
        <color rgb="FFC7D0D9"/>
      </bottom>
      <diagonal/>
    </border>
    <border>
      <left style="thin">
        <color rgb="FFC7D0D9"/>
      </left>
      <right style="thin">
        <color rgb="FFC7D0D9"/>
      </right>
      <top style="thin">
        <color rgb="FFC7D0D9"/>
      </top>
      <bottom style="medium">
        <color rgb="FFC7D0D9"/>
      </bottom>
      <diagonal/>
    </border>
    <border>
      <left style="medium">
        <color rgb="FFC7D0D9"/>
      </left>
      <right style="thin">
        <color rgb="FFC7D0D9"/>
      </right>
      <top style="medium">
        <color rgb="FFC7D0D9"/>
      </top>
      <bottom style="thin">
        <color rgb="FFC7D0D9"/>
      </bottom>
      <diagonal/>
    </border>
    <border>
      <left style="medium">
        <color rgb="FFC7D0D9"/>
      </left>
      <right style="thin">
        <color rgb="FFC7D0D9"/>
      </right>
      <top style="thin">
        <color rgb="FFC7D0D9"/>
      </top>
      <bottom style="thin">
        <color rgb="FFC7D0D9"/>
      </bottom>
      <diagonal/>
    </border>
    <border>
      <left style="thin">
        <color rgb="FFC7D0D9"/>
      </left>
      <right style="medium">
        <color rgb="FFC7D0D9"/>
      </right>
      <top style="thin">
        <color rgb="FFC7D0D9"/>
      </top>
      <bottom style="thin">
        <color rgb="FFC7D0D9"/>
      </bottom>
      <diagonal/>
    </border>
    <border>
      <left style="medium">
        <color rgb="FFC7D0D9"/>
      </left>
      <right style="thin">
        <color rgb="FFC7D0D9"/>
      </right>
      <top style="thin">
        <color rgb="FFC7D0D9"/>
      </top>
      <bottom style="medium">
        <color rgb="FFC7D0D9"/>
      </bottom>
      <diagonal/>
    </border>
    <border>
      <left style="thin">
        <color rgb="FFC7D0D9"/>
      </left>
      <right style="medium">
        <color rgb="FFC7D0D9"/>
      </right>
      <top style="thin">
        <color rgb="FFC7D0D9"/>
      </top>
      <bottom style="medium">
        <color rgb="FFC7D0D9"/>
      </bottom>
      <diagonal/>
    </border>
    <border>
      <left/>
      <right/>
      <top style="medium">
        <color rgb="FFC7D0D9"/>
      </top>
      <bottom/>
      <diagonal/>
    </border>
    <border>
      <left/>
      <right style="thin">
        <color rgb="FFC7D0D9"/>
      </right>
      <top style="medium">
        <color rgb="FFC7D0D9"/>
      </top>
      <bottom/>
      <diagonal/>
    </border>
    <border>
      <left/>
      <right/>
      <top style="medium">
        <color rgb="FFC7D0D9"/>
      </top>
      <bottom style="thin">
        <color rgb="FFC7D0D9"/>
      </bottom>
      <diagonal/>
    </border>
    <border>
      <left/>
      <right style="thin">
        <color rgb="FFC7D0D9"/>
      </right>
      <top style="medium">
        <color rgb="FFC7D0D9"/>
      </top>
      <bottom style="thin">
        <color rgb="FFC7D0D9"/>
      </bottom>
      <diagonal/>
    </border>
    <border>
      <left style="medium">
        <color rgb="FFC7D0D9"/>
      </left>
      <right style="medium">
        <color rgb="FFC7D0D9"/>
      </right>
      <top style="medium">
        <color rgb="FFC7D0D9"/>
      </top>
      <bottom style="medium">
        <color rgb="FFC7D0D9"/>
      </bottom>
      <diagonal/>
    </border>
    <border>
      <left/>
      <right/>
      <top style="thin">
        <color rgb="FFC7D0D9"/>
      </top>
      <bottom/>
      <diagonal/>
    </border>
    <border>
      <left/>
      <right style="thin">
        <color rgb="FFC7D0D9"/>
      </right>
      <top style="thin">
        <color rgb="FFC7D0D9"/>
      </top>
      <bottom/>
      <diagonal/>
    </border>
    <border>
      <left/>
      <right/>
      <top style="thin">
        <color rgb="FFC7D0D9"/>
      </top>
      <bottom style="thin">
        <color rgb="FFC7D0D9"/>
      </bottom>
      <diagonal/>
    </border>
    <border>
      <left/>
      <right style="thin">
        <color rgb="FFC7D0D9"/>
      </right>
      <top style="thin">
        <color rgb="FFC7D0D9"/>
      </top>
      <bottom style="thin">
        <color rgb="FFC7D0D9"/>
      </bottom>
      <diagonal/>
    </border>
    <border>
      <left style="medium">
        <color rgb="FFC7D0D9"/>
      </left>
      <right/>
      <top/>
      <bottom/>
      <diagonal/>
    </border>
    <border>
      <left/>
      <right style="thin">
        <color rgb="FFC7D0D9"/>
      </right>
      <top/>
      <bottom/>
      <diagonal/>
    </border>
    <border>
      <left style="medium">
        <color rgb="FFC7D0D9"/>
      </left>
      <right/>
      <top/>
      <bottom style="thin">
        <color rgb="FFC7D0D9"/>
      </bottom>
      <diagonal/>
    </border>
    <border>
      <left/>
      <right/>
      <top/>
      <bottom style="thin">
        <color rgb="FFC7D0D9"/>
      </bottom>
      <diagonal/>
    </border>
    <border>
      <left/>
      <right style="thin">
        <color rgb="FFC7D0D9"/>
      </right>
      <top/>
      <bottom style="thin">
        <color rgb="FFC7D0D9"/>
      </bottom>
      <diagonal/>
    </border>
    <border>
      <left style="medium">
        <color rgb="FFC7D0D9"/>
      </left>
      <right/>
      <top style="medium">
        <color rgb="FFC7D0D9"/>
      </top>
      <bottom/>
      <diagonal/>
    </border>
    <border>
      <left style="medium">
        <color rgb="FFC7D0D9"/>
      </left>
      <right/>
      <top style="thin">
        <color rgb="FFC7D0D9"/>
      </top>
      <bottom/>
      <diagonal/>
    </border>
    <border>
      <left style="medium">
        <color rgb="FFC7D0D9"/>
      </left>
      <right style="thin">
        <color rgb="FFC7D0D9"/>
      </right>
      <top style="thin">
        <color rgb="FFC7D0D9"/>
      </top>
      <bottom/>
      <diagonal/>
    </border>
    <border>
      <left style="thin">
        <color rgb="FFC7D0D9"/>
      </left>
      <right style="thin">
        <color rgb="FFC7D0D9"/>
      </right>
      <top style="thin">
        <color rgb="FFC7D0D9"/>
      </top>
      <bottom/>
      <diagonal/>
    </border>
    <border>
      <left/>
      <right style="medium">
        <color rgb="FFC7D0D9"/>
      </right>
      <top/>
      <bottom style="thin">
        <color rgb="FFC7D0D9"/>
      </bottom>
      <diagonal/>
    </border>
    <border>
      <left style="medium">
        <color indexed="64"/>
      </left>
      <right style="thin">
        <color rgb="FFC7D0D9"/>
      </right>
      <top style="medium">
        <color indexed="64"/>
      </top>
      <bottom style="medium">
        <color indexed="64"/>
      </bottom>
      <diagonal/>
    </border>
    <border>
      <left/>
      <right style="thin">
        <color rgb="FFC7D0D9"/>
      </right>
      <top style="medium">
        <color indexed="64"/>
      </top>
      <bottom style="medium">
        <color indexed="64"/>
      </bottom>
      <diagonal/>
    </border>
    <border>
      <left style="thin">
        <color rgb="FFC7D0D9"/>
      </left>
      <right style="thin">
        <color rgb="FFC7D0D9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4" fontId="1" fillId="0" borderId="0"/>
    <xf numFmtId="9" fontId="1" fillId="0" borderId="0"/>
    <xf numFmtId="0" fontId="20" fillId="0" borderId="0">
      <alignment vertical="top"/>
      <protection locked="0"/>
    </xf>
  </cellStyleXfs>
  <cellXfs count="212">
    <xf numFmtId="0" fontId="0" fillId="0" borderId="0" xfId="0"/>
    <xf numFmtId="0" fontId="2" fillId="0" borderId="0" xfId="0" applyFont="1"/>
    <xf numFmtId="0" fontId="2" fillId="2" borderId="0" xfId="0" applyFont="1" applyFill="1"/>
    <xf numFmtId="0" fontId="2" fillId="2" borderId="0" xfId="0" applyFont="1" applyFill="1" applyAlignment="1">
      <alignment horizontal="center"/>
    </xf>
    <xf numFmtId="44" fontId="2" fillId="0" borderId="0" xfId="1" applyFont="1"/>
    <xf numFmtId="0" fontId="2" fillId="0" borderId="0" xfId="0" applyFont="1" applyAlignment="1">
      <alignment horizontal="center"/>
    </xf>
    <xf numFmtId="0" fontId="3" fillId="0" borderId="6" xfId="0" applyFont="1" applyBorder="1"/>
    <xf numFmtId="0" fontId="3" fillId="0" borderId="1" xfId="0" applyFont="1" applyBorder="1" applyAlignment="1">
      <alignment horizontal="center" vertical="center" wrapText="1"/>
    </xf>
    <xf numFmtId="44" fontId="0" fillId="4" borderId="2" xfId="0" applyNumberFormat="1" applyFill="1" applyBorder="1"/>
    <xf numFmtId="44" fontId="2" fillId="2" borderId="0" xfId="1" applyFont="1" applyFill="1"/>
    <xf numFmtId="44" fontId="0" fillId="2" borderId="0" xfId="0" applyNumberFormat="1" applyFill="1"/>
    <xf numFmtId="0" fontId="0" fillId="2" borderId="0" xfId="0" applyFill="1"/>
    <xf numFmtId="0" fontId="12" fillId="0" borderId="0" xfId="0" applyFont="1"/>
    <xf numFmtId="0" fontId="12" fillId="0" borderId="0" xfId="0" applyFont="1" applyAlignment="1">
      <alignment vertical="center"/>
    </xf>
    <xf numFmtId="0" fontId="12" fillId="6" borderId="0" xfId="0" applyFont="1" applyFill="1"/>
    <xf numFmtId="0" fontId="15" fillId="6" borderId="0" xfId="0" applyFont="1" applyFill="1" applyAlignment="1">
      <alignment vertical="center"/>
    </xf>
    <xf numFmtId="0" fontId="16" fillId="6" borderId="0" xfId="0" applyFont="1" applyFill="1" applyAlignment="1">
      <alignment horizontal="right" vertical="center"/>
    </xf>
    <xf numFmtId="0" fontId="17" fillId="6" borderId="0" xfId="0" applyFont="1" applyFill="1" applyAlignment="1">
      <alignment vertical="center"/>
    </xf>
    <xf numFmtId="0" fontId="15" fillId="6" borderId="0" xfId="0" applyFont="1" applyFill="1" applyAlignment="1">
      <alignment horizontal="right" vertical="center"/>
    </xf>
    <xf numFmtId="0" fontId="27" fillId="0" borderId="0" xfId="0" applyFont="1"/>
    <xf numFmtId="0" fontId="31" fillId="0" borderId="0" xfId="0" applyFont="1" applyAlignment="1">
      <alignment vertical="center"/>
    </xf>
    <xf numFmtId="0" fontId="32" fillId="6" borderId="0" xfId="0" applyFont="1" applyFill="1" applyAlignment="1">
      <alignment horizontal="center" vertical="center"/>
    </xf>
    <xf numFmtId="0" fontId="31" fillId="0" borderId="0" xfId="0" applyFont="1"/>
    <xf numFmtId="164" fontId="33" fillId="0" borderId="0" xfId="0" applyNumberFormat="1" applyFont="1" applyAlignment="1">
      <alignment horizontal="center" vertical="center"/>
    </xf>
    <xf numFmtId="0" fontId="12" fillId="2" borderId="0" xfId="0" applyFont="1" applyFill="1"/>
    <xf numFmtId="0" fontId="12" fillId="2" borderId="0" xfId="0" applyFont="1" applyFill="1" applyAlignment="1">
      <alignment vertical="center"/>
    </xf>
    <xf numFmtId="0" fontId="14" fillId="2" borderId="0" xfId="0" applyFont="1" applyFill="1" applyAlignment="1">
      <alignment vertical="center"/>
    </xf>
    <xf numFmtId="0" fontId="18" fillId="2" borderId="0" xfId="0" applyFont="1" applyFill="1" applyAlignment="1">
      <alignment vertical="center"/>
    </xf>
    <xf numFmtId="0" fontId="19" fillId="2" borderId="0" xfId="0" applyFont="1" applyFill="1" applyAlignment="1">
      <alignment vertical="center"/>
    </xf>
    <xf numFmtId="0" fontId="21" fillId="2" borderId="0" xfId="3" applyFont="1" applyFill="1" applyAlignment="1" applyProtection="1">
      <alignment vertical="center"/>
    </xf>
    <xf numFmtId="0" fontId="22" fillId="2" borderId="0" xfId="3" applyFont="1" applyFill="1" applyAlignment="1" applyProtection="1">
      <alignment vertical="center"/>
    </xf>
    <xf numFmtId="0" fontId="25" fillId="2" borderId="0" xfId="0" applyFont="1" applyFill="1" applyAlignment="1">
      <alignment vertical="center"/>
    </xf>
    <xf numFmtId="0" fontId="26" fillId="2" borderId="0" xfId="0" applyFont="1" applyFill="1"/>
    <xf numFmtId="0" fontId="27" fillId="2" borderId="0" xfId="0" applyFont="1" applyFill="1"/>
    <xf numFmtId="0" fontId="31" fillId="2" borderId="0" xfId="0" applyFont="1" applyFill="1" applyAlignment="1">
      <alignment vertical="center"/>
    </xf>
    <xf numFmtId="0" fontId="31" fillId="2" borderId="0" xfId="0" applyFont="1" applyFill="1"/>
    <xf numFmtId="0" fontId="34" fillId="2" borderId="0" xfId="0" applyFont="1" applyFill="1"/>
    <xf numFmtId="0" fontId="25" fillId="2" borderId="0" xfId="0" applyFont="1" applyFill="1" applyAlignment="1">
      <alignment vertical="top" wrapText="1"/>
    </xf>
    <xf numFmtId="0" fontId="28" fillId="2" borderId="0" xfId="0" applyFont="1" applyFill="1"/>
    <xf numFmtId="0" fontId="30" fillId="2" borderId="0" xfId="0" applyFont="1" applyFill="1" applyAlignment="1">
      <alignment vertical="center"/>
    </xf>
    <xf numFmtId="0" fontId="27" fillId="2" borderId="0" xfId="0" applyFont="1" applyFill="1" applyAlignment="1">
      <alignment vertical="center"/>
    </xf>
    <xf numFmtId="164" fontId="33" fillId="2" borderId="0" xfId="0" applyNumberFormat="1" applyFont="1" applyFill="1" applyAlignment="1">
      <alignment horizontal="center" vertical="center"/>
    </xf>
    <xf numFmtId="164" fontId="33" fillId="3" borderId="0" xfId="0" applyNumberFormat="1" applyFont="1" applyFill="1" applyAlignment="1">
      <alignment horizontal="center" vertical="center"/>
    </xf>
    <xf numFmtId="164" fontId="33" fillId="2" borderId="2" xfId="0" applyNumberFormat="1" applyFont="1" applyFill="1" applyBorder="1" applyAlignment="1">
      <alignment horizontal="center" vertical="center"/>
    </xf>
    <xf numFmtId="0" fontId="12" fillId="3" borderId="0" xfId="0" applyFont="1" applyFill="1" applyAlignment="1">
      <alignment vertical="center"/>
    </xf>
    <xf numFmtId="44" fontId="2" fillId="3" borderId="0" xfId="0" applyNumberFormat="1" applyFont="1" applyFill="1"/>
    <xf numFmtId="44" fontId="2" fillId="3" borderId="11" xfId="0" applyNumberFormat="1" applyFont="1" applyFill="1" applyBorder="1"/>
    <xf numFmtId="15" fontId="11" fillId="4" borderId="3" xfId="0" applyNumberFormat="1" applyFont="1" applyFill="1" applyBorder="1"/>
    <xf numFmtId="44" fontId="11" fillId="4" borderId="0" xfId="1" applyFont="1" applyFill="1"/>
    <xf numFmtId="44" fontId="2" fillId="3" borderId="14" xfId="0" applyNumberFormat="1" applyFont="1" applyFill="1" applyBorder="1"/>
    <xf numFmtId="44" fontId="2" fillId="3" borderId="15" xfId="0" applyNumberFormat="1" applyFont="1" applyFill="1" applyBorder="1"/>
    <xf numFmtId="44" fontId="2" fillId="3" borderId="16" xfId="0" applyNumberFormat="1" applyFont="1" applyFill="1" applyBorder="1"/>
    <xf numFmtId="0" fontId="3" fillId="2" borderId="6" xfId="0" applyFont="1" applyFill="1" applyBorder="1"/>
    <xf numFmtId="0" fontId="0" fillId="2" borderId="6" xfId="0" applyFill="1" applyBorder="1"/>
    <xf numFmtId="10" fontId="0" fillId="2" borderId="0" xfId="2" applyNumberFormat="1" applyFont="1" applyFill="1"/>
    <xf numFmtId="0" fontId="3" fillId="2" borderId="0" xfId="0" applyFont="1" applyFill="1"/>
    <xf numFmtId="44" fontId="4" fillId="2" borderId="0" xfId="1" applyFont="1" applyFill="1"/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 wrapText="1"/>
    </xf>
    <xf numFmtId="44" fontId="6" fillId="2" borderId="0" xfId="0" applyNumberFormat="1" applyFont="1" applyFill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2" fillId="2" borderId="3" xfId="0" applyFont="1" applyFill="1" applyBorder="1"/>
    <xf numFmtId="44" fontId="2" fillId="2" borderId="3" xfId="0" applyNumberFormat="1" applyFont="1" applyFill="1" applyBorder="1"/>
    <xf numFmtId="0" fontId="2" fillId="2" borderId="3" xfId="0" applyFont="1" applyFill="1" applyBorder="1" applyAlignment="1">
      <alignment horizontal="center"/>
    </xf>
    <xf numFmtId="44" fontId="2" fillId="2" borderId="10" xfId="0" applyNumberFormat="1" applyFont="1" applyFill="1" applyBorder="1"/>
    <xf numFmtId="44" fontId="0" fillId="2" borderId="0" xfId="1" applyFont="1" applyFill="1"/>
    <xf numFmtId="44" fontId="7" fillId="2" borderId="0" xfId="1" applyFont="1" applyFill="1"/>
    <xf numFmtId="44" fontId="5" fillId="2" borderId="0" xfId="1" applyFont="1" applyFill="1"/>
    <xf numFmtId="165" fontId="0" fillId="2" borderId="0" xfId="2" applyNumberFormat="1" applyFont="1" applyFill="1"/>
    <xf numFmtId="0" fontId="10" fillId="2" borderId="1" xfId="0" applyFont="1" applyFill="1" applyBorder="1" applyAlignment="1">
      <alignment horizontal="center" vertical="center" wrapText="1"/>
    </xf>
    <xf numFmtId="44" fontId="36" fillId="2" borderId="0" xfId="0" applyNumberFormat="1" applyFont="1" applyFill="1" applyAlignment="1">
      <alignment horizontal="center"/>
    </xf>
    <xf numFmtId="0" fontId="9" fillId="2" borderId="0" xfId="0" applyFont="1" applyFill="1"/>
    <xf numFmtId="0" fontId="37" fillId="2" borderId="0" xfId="0" applyFont="1" applyFill="1"/>
    <xf numFmtId="0" fontId="38" fillId="2" borderId="0" xfId="0" applyFont="1" applyFill="1"/>
    <xf numFmtId="0" fontId="10" fillId="2" borderId="18" xfId="0" applyFont="1" applyFill="1" applyBorder="1" applyAlignment="1">
      <alignment horizontal="center" vertical="center" wrapText="1"/>
    </xf>
    <xf numFmtId="44" fontId="36" fillId="2" borderId="11" xfId="0" applyNumberFormat="1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 wrapText="1"/>
    </xf>
    <xf numFmtId="44" fontId="2" fillId="3" borderId="19" xfId="0" applyNumberFormat="1" applyFont="1" applyFill="1" applyBorder="1"/>
    <xf numFmtId="44" fontId="2" fillId="3" borderId="20" xfId="0" applyNumberFormat="1" applyFont="1" applyFill="1" applyBorder="1"/>
    <xf numFmtId="44" fontId="2" fillId="3" borderId="21" xfId="0" applyNumberFormat="1" applyFont="1" applyFill="1" applyBorder="1"/>
    <xf numFmtId="0" fontId="3" fillId="7" borderId="2" xfId="0" applyFont="1" applyFill="1" applyBorder="1" applyAlignment="1">
      <alignment horizontal="center" vertical="center" wrapText="1"/>
    </xf>
    <xf numFmtId="44" fontId="2" fillId="7" borderId="14" xfId="0" applyNumberFormat="1" applyFont="1" applyFill="1" applyBorder="1"/>
    <xf numFmtId="44" fontId="2" fillId="7" borderId="22" xfId="0" applyNumberFormat="1" applyFont="1" applyFill="1" applyBorder="1"/>
    <xf numFmtId="44" fontId="2" fillId="7" borderId="23" xfId="0" applyNumberFormat="1" applyFont="1" applyFill="1" applyBorder="1"/>
    <xf numFmtId="0" fontId="40" fillId="2" borderId="0" xfId="0" applyFont="1" applyFill="1"/>
    <xf numFmtId="0" fontId="41" fillId="2" borderId="0" xfId="0" applyFont="1" applyFill="1"/>
    <xf numFmtId="0" fontId="39" fillId="2" borderId="0" xfId="0" applyFont="1" applyFill="1"/>
    <xf numFmtId="10" fontId="11" fillId="2" borderId="0" xfId="2" applyNumberFormat="1" applyFont="1" applyFill="1" applyAlignment="1">
      <alignment horizontal="center"/>
    </xf>
    <xf numFmtId="0" fontId="15" fillId="2" borderId="0" xfId="0" applyFont="1" applyFill="1"/>
    <xf numFmtId="10" fontId="15" fillId="2" borderId="0" xfId="2" applyNumberFormat="1" applyFont="1" applyFill="1"/>
    <xf numFmtId="44" fontId="15" fillId="2" borderId="0" xfId="1" applyFont="1" applyFill="1"/>
    <xf numFmtId="165" fontId="15" fillId="2" borderId="0" xfId="2" applyNumberFormat="1" applyFont="1" applyFill="1"/>
    <xf numFmtId="44" fontId="15" fillId="2" borderId="0" xfId="0" applyNumberFormat="1" applyFont="1" applyFill="1"/>
    <xf numFmtId="0" fontId="0" fillId="0" borderId="0" xfId="0" applyAlignment="1">
      <alignment vertical="center"/>
    </xf>
    <xf numFmtId="0" fontId="0" fillId="9" borderId="30" xfId="0" applyFill="1" applyBorder="1" applyAlignment="1">
      <alignment vertical="center"/>
    </xf>
    <xf numFmtId="0" fontId="0" fillId="9" borderId="27" xfId="0" applyFill="1" applyBorder="1" applyAlignment="1">
      <alignment vertical="center"/>
    </xf>
    <xf numFmtId="0" fontId="0" fillId="9" borderId="31" xfId="0" applyFill="1" applyBorder="1" applyAlignment="1">
      <alignment vertical="center"/>
    </xf>
    <xf numFmtId="0" fontId="45" fillId="9" borderId="27" xfId="0" applyFont="1" applyFill="1" applyBorder="1" applyAlignment="1">
      <alignment vertical="center"/>
    </xf>
    <xf numFmtId="0" fontId="47" fillId="10" borderId="38" xfId="0" applyFont="1" applyFill="1" applyBorder="1" applyAlignment="1">
      <alignment horizontal="center" vertical="center"/>
    </xf>
    <xf numFmtId="168" fontId="47" fillId="10" borderId="38" xfId="0" applyNumberFormat="1" applyFont="1" applyFill="1" applyBorder="1" applyAlignment="1">
      <alignment horizontal="center" vertical="center"/>
    </xf>
    <xf numFmtId="0" fontId="0" fillId="12" borderId="27" xfId="0" applyFill="1" applyBorder="1" applyAlignment="1">
      <alignment vertical="center"/>
    </xf>
    <xf numFmtId="0" fontId="46" fillId="9" borderId="27" xfId="0" applyFont="1" applyFill="1" applyBorder="1" applyAlignment="1">
      <alignment vertical="center"/>
    </xf>
    <xf numFmtId="168" fontId="46" fillId="11" borderId="27" xfId="0" applyNumberFormat="1" applyFont="1" applyFill="1" applyBorder="1" applyAlignment="1">
      <alignment horizontal="center" vertical="center"/>
    </xf>
    <xf numFmtId="0" fontId="46" fillId="11" borderId="27" xfId="0" applyFont="1" applyFill="1" applyBorder="1" applyAlignment="1">
      <alignment horizontal="center" vertical="center"/>
    </xf>
    <xf numFmtId="0" fontId="0" fillId="9" borderId="32" xfId="0" applyFill="1" applyBorder="1" applyAlignment="1">
      <alignment vertical="center"/>
    </xf>
    <xf numFmtId="0" fontId="46" fillId="9" borderId="28" xfId="0" applyFont="1" applyFill="1" applyBorder="1" applyAlignment="1">
      <alignment vertical="center"/>
    </xf>
    <xf numFmtId="0" fontId="0" fillId="9" borderId="28" xfId="0" applyFill="1" applyBorder="1" applyAlignment="1">
      <alignment vertical="center"/>
    </xf>
    <xf numFmtId="0" fontId="0" fillId="9" borderId="33" xfId="0" applyFill="1" applyBorder="1" applyAlignment="1">
      <alignment vertical="center"/>
    </xf>
    <xf numFmtId="0" fontId="0" fillId="12" borderId="30" xfId="0" applyFill="1" applyBorder="1" applyAlignment="1">
      <alignment vertical="center"/>
    </xf>
    <xf numFmtId="0" fontId="45" fillId="12" borderId="27" xfId="0" applyFont="1" applyFill="1" applyBorder="1" applyAlignment="1">
      <alignment vertical="center"/>
    </xf>
    <xf numFmtId="167" fontId="51" fillId="9" borderId="31" xfId="0" applyNumberFormat="1" applyFont="1" applyFill="1" applyBorder="1" applyAlignment="1">
      <alignment horizontal="right"/>
    </xf>
    <xf numFmtId="0" fontId="0" fillId="12" borderId="31" xfId="0" applyFill="1" applyBorder="1" applyAlignment="1">
      <alignment vertical="center"/>
    </xf>
    <xf numFmtId="14" fontId="0" fillId="0" borderId="0" xfId="0" applyNumberFormat="1"/>
    <xf numFmtId="0" fontId="44" fillId="0" borderId="0" xfId="0" applyFont="1" applyAlignment="1">
      <alignment vertical="center"/>
    </xf>
    <xf numFmtId="167" fontId="45" fillId="12" borderId="31" xfId="0" applyNumberFormat="1" applyFont="1" applyFill="1" applyBorder="1" applyAlignment="1">
      <alignment horizontal="right" vertical="center"/>
    </xf>
    <xf numFmtId="167" fontId="45" fillId="9" borderId="31" xfId="0" applyNumberFormat="1" applyFont="1" applyFill="1" applyBorder="1" applyAlignment="1">
      <alignment horizontal="right" vertical="center"/>
    </xf>
    <xf numFmtId="167" fontId="51" fillId="9" borderId="31" xfId="0" applyNumberFormat="1" applyFont="1" applyFill="1" applyBorder="1" applyAlignment="1">
      <alignment horizontal="right" vertical="center"/>
    </xf>
    <xf numFmtId="0" fontId="42" fillId="8" borderId="0" xfId="0" applyFont="1" applyFill="1" applyAlignment="1">
      <alignment horizontal="center" vertical="center"/>
    </xf>
    <xf numFmtId="0" fontId="0" fillId="0" borderId="0" xfId="0"/>
    <xf numFmtId="167" fontId="49" fillId="9" borderId="27" xfId="0" applyNumberFormat="1" applyFont="1" applyFill="1" applyBorder="1" applyAlignment="1">
      <alignment horizontal="right" vertical="center"/>
    </xf>
    <xf numFmtId="0" fontId="0" fillId="0" borderId="42" xfId="0" applyBorder="1" applyAlignment="1">
      <alignment vertical="center"/>
    </xf>
    <xf numFmtId="0" fontId="53" fillId="9" borderId="30" xfId="0" applyFont="1" applyFill="1" applyBorder="1" applyAlignment="1">
      <alignment horizontal="center" vertical="center"/>
    </xf>
    <xf numFmtId="0" fontId="54" fillId="0" borderId="41" xfId="0" applyFont="1" applyBorder="1" applyAlignment="1">
      <alignment vertical="center"/>
    </xf>
    <xf numFmtId="0" fontId="54" fillId="0" borderId="42" xfId="0" applyFont="1" applyBorder="1" applyAlignment="1">
      <alignment vertical="center"/>
    </xf>
    <xf numFmtId="0" fontId="45" fillId="9" borderId="30" xfId="0" applyFont="1" applyFill="1" applyBorder="1" applyAlignment="1">
      <alignment vertical="center"/>
    </xf>
    <xf numFmtId="0" fontId="0" fillId="0" borderId="41" xfId="0" applyBorder="1"/>
    <xf numFmtId="0" fontId="0" fillId="0" borderId="42" xfId="0" applyBorder="1"/>
    <xf numFmtId="0" fontId="0" fillId="9" borderId="45" xfId="0" applyFill="1" applyBorder="1" applyAlignment="1">
      <alignment horizontal="center" vertical="center"/>
    </xf>
    <xf numFmtId="0" fontId="0" fillId="9" borderId="46" xfId="0" applyFill="1" applyBorder="1" applyAlignment="1">
      <alignment horizontal="center" vertical="center"/>
    </xf>
    <xf numFmtId="0" fontId="0" fillId="9" borderId="52" xfId="0" applyFill="1" applyBorder="1" applyAlignment="1">
      <alignment horizontal="center" vertical="center"/>
    </xf>
    <xf numFmtId="0" fontId="44" fillId="8" borderId="48" xfId="0" applyFont="1" applyFill="1" applyBorder="1" applyAlignment="1">
      <alignment horizontal="center" vertical="center"/>
    </xf>
    <xf numFmtId="0" fontId="44" fillId="8" borderId="34" xfId="0" applyFont="1" applyFill="1" applyBorder="1" applyAlignment="1">
      <alignment horizontal="center" vertical="center"/>
    </xf>
    <xf numFmtId="0" fontId="44" fillId="8" borderId="35" xfId="0" applyFont="1" applyFill="1" applyBorder="1" applyAlignment="1">
      <alignment horizontal="center" vertical="center"/>
    </xf>
    <xf numFmtId="0" fontId="44" fillId="8" borderId="45" xfId="0" applyFont="1" applyFill="1" applyBorder="1" applyAlignment="1">
      <alignment horizontal="center" vertical="center"/>
    </xf>
    <xf numFmtId="0" fontId="44" fillId="8" borderId="46" xfId="0" applyFont="1" applyFill="1" applyBorder="1" applyAlignment="1">
      <alignment horizontal="center" vertical="center"/>
    </xf>
    <xf numFmtId="0" fontId="44" fillId="8" borderId="47" xfId="0" applyFont="1" applyFill="1" applyBorder="1" applyAlignment="1">
      <alignment horizontal="center" vertical="center"/>
    </xf>
    <xf numFmtId="0" fontId="50" fillId="13" borderId="48" xfId="0" applyFont="1" applyFill="1" applyBorder="1" applyAlignment="1">
      <alignment horizontal="center" vertical="center"/>
    </xf>
    <xf numFmtId="0" fontId="50" fillId="13" borderId="34" xfId="0" applyFont="1" applyFill="1" applyBorder="1" applyAlignment="1">
      <alignment horizontal="center" vertical="center"/>
    </xf>
    <xf numFmtId="0" fontId="50" fillId="13" borderId="45" xfId="0" applyFont="1" applyFill="1" applyBorder="1" applyAlignment="1">
      <alignment horizontal="center" vertical="center"/>
    </xf>
    <xf numFmtId="0" fontId="50" fillId="13" borderId="46" xfId="0" applyFont="1" applyFill="1" applyBorder="1" applyAlignment="1">
      <alignment horizontal="center" vertical="center"/>
    </xf>
    <xf numFmtId="0" fontId="46" fillId="12" borderId="27" xfId="0" applyFont="1" applyFill="1" applyBorder="1" applyAlignment="1">
      <alignment horizontal="left" vertical="center"/>
    </xf>
    <xf numFmtId="0" fontId="0" fillId="0" borderId="41" xfId="0" applyBorder="1" applyAlignment="1">
      <alignment vertical="center"/>
    </xf>
    <xf numFmtId="167" fontId="48" fillId="3" borderId="30" xfId="0" applyNumberFormat="1" applyFont="1" applyFill="1" applyBorder="1" applyAlignment="1">
      <alignment horizontal="center" vertical="center"/>
    </xf>
    <xf numFmtId="0" fontId="0" fillId="3" borderId="39" xfId="0" applyFill="1" applyBorder="1"/>
    <xf numFmtId="0" fontId="0" fillId="3" borderId="40" xfId="0" applyFill="1" applyBorder="1"/>
    <xf numFmtId="0" fontId="0" fillId="3" borderId="43" xfId="0" applyFill="1" applyBorder="1"/>
    <xf numFmtId="0" fontId="0" fillId="3" borderId="0" xfId="0" applyFill="1"/>
    <xf numFmtId="0" fontId="0" fillId="3" borderId="44" xfId="0" applyFill="1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43" fillId="0" borderId="0" xfId="0" applyFont="1" applyAlignment="1">
      <alignment horizontal="center" vertical="center"/>
    </xf>
    <xf numFmtId="0" fontId="44" fillId="13" borderId="29" xfId="0" applyFont="1" applyFill="1" applyBorder="1" applyAlignment="1">
      <alignment horizontal="center" vertical="center"/>
    </xf>
    <xf numFmtId="0" fontId="0" fillId="13" borderId="36" xfId="0" applyFill="1" applyBorder="1"/>
    <xf numFmtId="0" fontId="0" fillId="13" borderId="37" xfId="0" applyFill="1" applyBorder="1"/>
    <xf numFmtId="0" fontId="50" fillId="13" borderId="29" xfId="0" applyFont="1" applyFill="1" applyBorder="1" applyAlignment="1">
      <alignment horizontal="center" vertical="center"/>
    </xf>
    <xf numFmtId="0" fontId="0" fillId="13" borderId="36" xfId="0" applyFill="1" applyBorder="1" applyAlignment="1">
      <alignment vertical="center"/>
    </xf>
    <xf numFmtId="0" fontId="0" fillId="13" borderId="37" xfId="0" applyFill="1" applyBorder="1" applyAlignment="1">
      <alignment vertical="center"/>
    </xf>
    <xf numFmtId="0" fontId="45" fillId="12" borderId="30" xfId="0" applyFont="1" applyFill="1" applyBorder="1" applyAlignment="1">
      <alignment vertical="center"/>
    </xf>
    <xf numFmtId="167" fontId="45" fillId="9" borderId="27" xfId="0" applyNumberFormat="1" applyFont="1" applyFill="1" applyBorder="1" applyAlignment="1">
      <alignment horizontal="right" vertical="center"/>
    </xf>
    <xf numFmtId="0" fontId="46" fillId="12" borderId="53" xfId="0" applyFont="1" applyFill="1" applyBorder="1" applyAlignment="1">
      <alignment vertical="center"/>
    </xf>
    <xf numFmtId="0" fontId="0" fillId="0" borderId="7" xfId="0" applyBorder="1"/>
    <xf numFmtId="0" fontId="0" fillId="0" borderId="54" xfId="0" applyBorder="1"/>
    <xf numFmtId="167" fontId="45" fillId="12" borderId="27" xfId="0" applyNumberFormat="1" applyFont="1" applyFill="1" applyBorder="1" applyAlignment="1">
      <alignment horizontal="right" vertical="center"/>
    </xf>
    <xf numFmtId="0" fontId="0" fillId="0" borderId="42" xfId="0" applyBorder="1" applyAlignment="1">
      <alignment horizontal="right" vertical="center"/>
    </xf>
    <xf numFmtId="0" fontId="45" fillId="9" borderId="50" xfId="0" applyFont="1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9" borderId="49" xfId="0" applyFill="1" applyBorder="1" applyAlignment="1">
      <alignment horizontal="center" vertical="center"/>
    </xf>
    <xf numFmtId="0" fontId="0" fillId="9" borderId="39" xfId="0" applyFill="1" applyBorder="1" applyAlignment="1">
      <alignment horizontal="center" vertical="center"/>
    </xf>
    <xf numFmtId="0" fontId="0" fillId="9" borderId="43" xfId="0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67" fontId="51" fillId="12" borderId="55" xfId="0" applyNumberFormat="1" applyFont="1" applyFill="1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167" fontId="45" fillId="9" borderId="51" xfId="0" applyNumberFormat="1" applyFont="1" applyFill="1" applyBorder="1" applyAlignment="1">
      <alignment horizontal="right" vertical="center"/>
    </xf>
    <xf numFmtId="0" fontId="0" fillId="0" borderId="40" xfId="0" applyBorder="1" applyAlignment="1">
      <alignment horizontal="right" vertical="center"/>
    </xf>
    <xf numFmtId="0" fontId="0" fillId="0" borderId="40" xfId="0" applyBorder="1" applyAlignment="1">
      <alignment vertical="center"/>
    </xf>
    <xf numFmtId="0" fontId="50" fillId="8" borderId="29" xfId="0" applyFont="1" applyFill="1" applyBorder="1" applyAlignment="1">
      <alignment horizontal="center" vertical="center"/>
    </xf>
    <xf numFmtId="0" fontId="0" fillId="0" borderId="36" xfId="0" applyBorder="1" applyAlignment="1">
      <alignment vertical="center"/>
    </xf>
    <xf numFmtId="0" fontId="0" fillId="0" borderId="37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5" xfId="0" applyBorder="1"/>
    <xf numFmtId="49" fontId="35" fillId="4" borderId="24" xfId="1" applyNumberFormat="1" applyFont="1" applyFill="1" applyBorder="1" applyAlignment="1">
      <alignment horizontal="center"/>
    </xf>
    <xf numFmtId="0" fontId="0" fillId="0" borderId="12" xfId="0" applyBorder="1"/>
    <xf numFmtId="0" fontId="0" fillId="0" borderId="13" xfId="0" applyBorder="1"/>
    <xf numFmtId="10" fontId="11" fillId="4" borderId="24" xfId="2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10" fontId="8" fillId="2" borderId="1" xfId="2" applyNumberFormat="1" applyFont="1" applyFill="1" applyBorder="1" applyAlignment="1">
      <alignment horizontal="center"/>
    </xf>
    <xf numFmtId="0" fontId="0" fillId="0" borderId="1" xfId="0" applyBorder="1"/>
    <xf numFmtId="44" fontId="11" fillId="4" borderId="3" xfId="1" applyFont="1" applyFill="1" applyBorder="1" applyAlignment="1">
      <alignment horizontal="left"/>
    </xf>
    <xf numFmtId="0" fontId="0" fillId="0" borderId="6" xfId="0" applyBorder="1"/>
    <xf numFmtId="0" fontId="0" fillId="0" borderId="25" xfId="0" applyBorder="1"/>
    <xf numFmtId="44" fontId="11" fillId="4" borderId="3" xfId="1" applyFont="1" applyFill="1" applyBorder="1" applyAlignment="1">
      <alignment horizontal="center"/>
    </xf>
    <xf numFmtId="10" fontId="10" fillId="2" borderId="17" xfId="2" applyNumberFormat="1" applyFont="1" applyFill="1" applyBorder="1" applyAlignment="1">
      <alignment horizontal="center"/>
    </xf>
    <xf numFmtId="0" fontId="25" fillId="2" borderId="0" xfId="0" applyFont="1" applyFill="1" applyAlignment="1">
      <alignment horizontal="left" vertical="top" wrapText="1"/>
    </xf>
    <xf numFmtId="0" fontId="31" fillId="0" borderId="0" xfId="0" applyFont="1"/>
    <xf numFmtId="166" fontId="29" fillId="5" borderId="0" xfId="0" applyNumberFormat="1" applyFont="1" applyFill="1" applyAlignment="1">
      <alignment horizontal="center" vertical="center"/>
    </xf>
    <xf numFmtId="0" fontId="27" fillId="0" borderId="0" xfId="0" applyFont="1"/>
    <xf numFmtId="0" fontId="12" fillId="0" borderId="0" xfId="0" applyFont="1"/>
    <xf numFmtId="164" fontId="33" fillId="2" borderId="2" xfId="0" applyNumberFormat="1" applyFont="1" applyFill="1" applyBorder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12" fillId="0" borderId="0" xfId="0" applyFont="1" applyAlignment="1">
      <alignment vertical="center"/>
    </xf>
    <xf numFmtId="0" fontId="24" fillId="2" borderId="0" xfId="0" applyFont="1" applyFill="1" applyAlignment="1">
      <alignment horizontal="center" vertical="center"/>
    </xf>
    <xf numFmtId="0" fontId="12" fillId="2" borderId="0" xfId="0" applyFont="1" applyFill="1"/>
    <xf numFmtId="0" fontId="15" fillId="0" borderId="26" xfId="0" applyFont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23" fillId="2" borderId="0" xfId="0" applyFont="1" applyFill="1" applyAlignment="1">
      <alignment horizontal="center" vertical="center"/>
    </xf>
  </cellXfs>
  <cellStyles count="4">
    <cellStyle name="Hipervínculo" xfId="3" builtinId="8"/>
    <cellStyle name="Moneda" xfId="1" builtinId="4"/>
    <cellStyle name="Normal" xfId="0" builtinId="0"/>
    <cellStyle name="Porcentaje" xfId="2" builtinId="5"/>
  </cellStyles>
  <dxfs count="28">
    <dxf>
      <font>
        <color theme="4" tint="-0.24994659260841701"/>
      </font>
    </dxf>
    <dxf>
      <font>
        <color theme="4" tint="-0.24994659260841701"/>
      </font>
    </dxf>
    <dxf>
      <font>
        <color theme="4" tint="-0.24994659260841701"/>
      </font>
    </dxf>
    <dxf>
      <font>
        <color theme="4" tint="-0.24994659260841701"/>
      </font>
    </dxf>
    <dxf>
      <font>
        <color theme="4" tint="-0.24994659260841701"/>
      </font>
    </dxf>
    <dxf>
      <font>
        <color theme="4" tint="-0.24994659260841701"/>
      </font>
    </dxf>
    <dxf>
      <font>
        <color theme="4" tint="-0.24994659260841701"/>
      </font>
    </dxf>
    <dxf>
      <font>
        <color theme="4" tint="-0.24994659260841701"/>
      </font>
    </dxf>
    <dxf>
      <font>
        <color theme="4" tint="-0.24994659260841701"/>
      </font>
    </dxf>
    <dxf>
      <font>
        <color theme="4" tint="-0.24994659260841701"/>
      </font>
    </dxf>
    <dxf>
      <font>
        <color theme="4" tint="-0.24994659260841701"/>
      </font>
    </dxf>
    <dxf>
      <font>
        <color theme="4" tint="-0.24994659260841701"/>
      </font>
    </dxf>
    <dxf>
      <font>
        <color theme="4" tint="-0.24994659260841701"/>
      </font>
    </dxf>
    <dxf>
      <font>
        <color theme="4" tint="-0.24994659260841701"/>
      </font>
    </dxf>
    <dxf>
      <font>
        <color theme="4" tint="-0.24994659260841701"/>
      </font>
    </dxf>
    <dxf>
      <numFmt numFmtId="169" formatCode="mmmm"/>
    </dxf>
    <dxf>
      <numFmt numFmtId="169" formatCode="mmmm"/>
    </dxf>
    <dxf>
      <numFmt numFmtId="169" formatCode="mmmm"/>
    </dxf>
    <dxf>
      <numFmt numFmtId="169" formatCode="mmmm"/>
    </dxf>
    <dxf>
      <numFmt numFmtId="169" formatCode="mmmm"/>
    </dxf>
    <dxf>
      <numFmt numFmtId="169" formatCode="mmmm"/>
    </dxf>
    <dxf>
      <numFmt numFmtId="169" formatCode="mmmm"/>
    </dxf>
    <dxf>
      <numFmt numFmtId="169" formatCode="mmmm"/>
    </dxf>
    <dxf>
      <numFmt numFmtId="169" formatCode="mmmm"/>
    </dxf>
    <dxf>
      <numFmt numFmtId="169" formatCode="mmmm"/>
    </dxf>
    <dxf>
      <numFmt numFmtId="169" formatCode="mmmm"/>
    </dxf>
    <dxf>
      <numFmt numFmtId="169" formatCode="mmmm"/>
    </dxf>
    <dxf>
      <font>
        <color theme="4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174626</xdr:colOff>
      <xdr:row>1</xdr:row>
      <xdr:rowOff>127001</xdr:rowOff>
    </xdr:from>
    <xdr:to>
      <xdr:col>5</xdr:col>
      <xdr:colOff>539751</xdr:colOff>
      <xdr:row>8</xdr:row>
      <xdr:rowOff>109025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DD78E7BD-3F0C-9270-F404-9F700505F4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26144" b="31577"/>
        <a:stretch>
          <a:fillRect/>
        </a:stretch>
      </xdr:blipFill>
      <xdr:spPr>
        <a:xfrm>
          <a:off x="619126" y="317501"/>
          <a:ext cx="3111500" cy="13155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276224</xdr:colOff>
      <xdr:row>2</xdr:row>
      <xdr:rowOff>47625</xdr:rowOff>
    </xdr:from>
    <xdr:to>
      <xdr:col>27</xdr:col>
      <xdr:colOff>1546859</xdr:colOff>
      <xdr:row>4</xdr:row>
      <xdr:rowOff>95250</xdr:rowOff>
    </xdr:to>
    <xdr:pic>
      <xdr:nvPicPr>
        <xdr:cNvPr id="2" name="Imagen 1">
          <a:hlinkClick xmlns:r="http://schemas.openxmlformats.org/officeDocument/2006/relationships" r:id="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53449" y="371475"/>
          <a:ext cx="1905000" cy="428625"/>
        </a:xfrm>
        <a:prstGeom prst="rect">
          <a:avLst/>
        </a:prstGeom>
        <a:ln>
          <a:prstDash val="solid"/>
        </a:ln>
      </xdr:spPr>
    </xdr:pic>
    <xdr:clientData/>
  </xdr:two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C10:R49"/>
  <sheetViews>
    <sheetView showGridLines="0" tabSelected="1" zoomScaleNormal="80" workbookViewId="0">
      <pane xSplit="2" ySplit="14" topLeftCell="C15" activePane="bottomRight" state="frozen"/>
      <selection pane="topRight"/>
      <selection pane="bottomLeft"/>
      <selection pane="bottomRight" activeCell="F17" sqref="F17"/>
    </sheetView>
  </sheetViews>
  <sheetFormatPr baseColWidth="10" defaultColWidth="8.83203125" defaultRowHeight="15"/>
  <cols>
    <col min="2" max="3" width="3" customWidth="1"/>
    <col min="4" max="4" width="22" customWidth="1"/>
    <col min="5" max="5" width="14" customWidth="1"/>
    <col min="6" max="6" width="16" customWidth="1"/>
    <col min="7" max="7" width="4" customWidth="1"/>
    <col min="8" max="8" width="3" customWidth="1"/>
    <col min="9" max="9" width="20" customWidth="1"/>
    <col min="10" max="10" width="14" customWidth="1"/>
    <col min="11" max="11" width="18" customWidth="1"/>
    <col min="12" max="12" width="10.1640625" customWidth="1"/>
    <col min="13" max="13" width="14" customWidth="1"/>
    <col min="14" max="14" width="3" customWidth="1"/>
    <col min="15" max="15" width="12" hidden="1" customWidth="1"/>
    <col min="16" max="18" width="14" hidden="1" customWidth="1"/>
  </cols>
  <sheetData>
    <row r="10" spans="3:16">
      <c r="C10" s="97"/>
      <c r="D10" s="97"/>
      <c r="E10" s="97"/>
      <c r="F10" s="97"/>
      <c r="G10" s="97"/>
      <c r="H10" s="97"/>
      <c r="I10" s="97"/>
      <c r="J10" s="97"/>
      <c r="K10" s="97"/>
      <c r="L10" s="97"/>
      <c r="M10" s="97"/>
    </row>
    <row r="11" spans="3:16" ht="26" customHeight="1">
      <c r="C11" s="121" t="s">
        <v>90</v>
      </c>
      <c r="D11" s="122"/>
      <c r="E11" s="122"/>
      <c r="F11" s="122"/>
      <c r="G11" s="122"/>
      <c r="H11" s="122"/>
      <c r="I11" s="122"/>
      <c r="J11" s="122"/>
      <c r="K11" s="122"/>
      <c r="L11" s="122"/>
      <c r="M11" s="122"/>
      <c r="O11" t="s">
        <v>0</v>
      </c>
      <c r="P11">
        <f>IF($F$21="","",EOMONTH(DATE(2026,MATCH($F$21,$O$11:$O$22,0),1),0))</f>
        <v>46053</v>
      </c>
    </row>
    <row r="12" spans="3:16" ht="26" customHeight="1">
      <c r="C12" s="122"/>
      <c r="D12" s="122"/>
      <c r="E12" s="122"/>
      <c r="F12" s="122"/>
      <c r="G12" s="122"/>
      <c r="H12" s="122"/>
      <c r="I12" s="122"/>
      <c r="J12" s="122"/>
      <c r="K12" s="122"/>
      <c r="L12" s="122"/>
      <c r="M12" s="122"/>
      <c r="O12" t="s">
        <v>1</v>
      </c>
      <c r="P12">
        <f>IF(OR($F$19="",$P$11="",$F$19&gt;$P$11),"",DATEDIF($F$19,$P$11,"Y"))</f>
        <v>11</v>
      </c>
    </row>
    <row r="13" spans="3:16" ht="22" customHeight="1" thickBot="1">
      <c r="C13" s="155"/>
      <c r="D13" s="155"/>
      <c r="E13" s="155"/>
      <c r="F13" s="155"/>
      <c r="G13" s="155"/>
      <c r="H13" s="155"/>
      <c r="I13" s="155"/>
      <c r="J13" s="155"/>
      <c r="K13" s="155"/>
      <c r="L13" s="155"/>
      <c r="M13" s="155"/>
      <c r="O13" t="s">
        <v>2</v>
      </c>
      <c r="P13">
        <f>IF($P$12="","",MAX(0,INT($P$12/3)))</f>
        <v>3</v>
      </c>
    </row>
    <row r="14" spans="3:16" hidden="1">
      <c r="C14" s="97"/>
      <c r="D14" s="97"/>
      <c r="E14" s="97"/>
      <c r="F14" s="97"/>
      <c r="G14" s="97"/>
      <c r="H14" s="97"/>
      <c r="I14" s="97"/>
      <c r="J14" s="97"/>
      <c r="K14" s="97"/>
      <c r="L14" s="97"/>
      <c r="M14" s="97"/>
      <c r="O14" t="s">
        <v>3</v>
      </c>
      <c r="P14">
        <f>MATCH($F$17,Costes_26!$B$6:$B$44,0)</f>
        <v>34</v>
      </c>
    </row>
    <row r="15" spans="3:16" ht="22" customHeight="1">
      <c r="C15" s="156" t="s">
        <v>95</v>
      </c>
      <c r="D15" s="157"/>
      <c r="E15" s="157"/>
      <c r="F15" s="158"/>
      <c r="G15" s="97"/>
      <c r="H15" s="97"/>
      <c r="I15" s="134"/>
      <c r="J15" s="135"/>
      <c r="K15" s="135"/>
      <c r="L15" s="135"/>
      <c r="M15" s="136"/>
      <c r="O15" t="s">
        <v>4</v>
      </c>
      <c r="P15">
        <f>MATCH($F$21,'Base cotización por meses'!$C$50:$N$50,0)</f>
        <v>1</v>
      </c>
    </row>
    <row r="16" spans="3:16" ht="22" customHeight="1" thickBot="1">
      <c r="C16" s="98"/>
      <c r="D16" s="99"/>
      <c r="E16" s="99"/>
      <c r="F16" s="100"/>
      <c r="G16" s="97"/>
      <c r="H16" s="97"/>
      <c r="I16" s="137"/>
      <c r="J16" s="138"/>
      <c r="K16" s="138"/>
      <c r="L16" s="138"/>
      <c r="M16" s="139"/>
      <c r="O16" t="s">
        <v>5</v>
      </c>
    </row>
    <row r="17" spans="3:17" ht="24" customHeight="1" thickBot="1">
      <c r="C17" s="98"/>
      <c r="D17" s="101" t="s">
        <v>6</v>
      </c>
      <c r="E17" s="99"/>
      <c r="F17" s="102">
        <v>6</v>
      </c>
      <c r="G17" s="97"/>
      <c r="H17" s="97"/>
      <c r="I17" s="125" t="s">
        <v>7</v>
      </c>
      <c r="J17" s="126"/>
      <c r="K17" s="126"/>
      <c r="L17" s="126"/>
      <c r="M17" s="127"/>
      <c r="O17" t="s">
        <v>8</v>
      </c>
      <c r="Q17" s="116">
        <v>44995</v>
      </c>
    </row>
    <row r="18" spans="3:17" ht="22" customHeight="1">
      <c r="C18" s="98"/>
      <c r="D18" s="99"/>
      <c r="E18" s="99"/>
      <c r="F18" s="100"/>
      <c r="G18" s="97"/>
      <c r="H18" s="97"/>
      <c r="I18" s="146">
        <f ca="1">IFERROR(F34+L35,"")</f>
        <v>294.21403846153851</v>
      </c>
      <c r="J18" s="147"/>
      <c r="K18" s="147"/>
      <c r="L18" s="147"/>
      <c r="M18" s="148"/>
      <c r="O18" t="s">
        <v>9</v>
      </c>
    </row>
    <row r="19" spans="3:17" ht="22" customHeight="1">
      <c r="C19" s="98"/>
      <c r="D19" s="101" t="s">
        <v>10</v>
      </c>
      <c r="E19" s="99"/>
      <c r="F19" s="103">
        <v>42007</v>
      </c>
      <c r="G19" s="97"/>
      <c r="H19" s="97"/>
      <c r="I19" s="149"/>
      <c r="J19" s="150"/>
      <c r="K19" s="150"/>
      <c r="L19" s="150"/>
      <c r="M19" s="151"/>
      <c r="O19" t="s">
        <v>11</v>
      </c>
    </row>
    <row r="20" spans="3:17" ht="22" customHeight="1">
      <c r="C20" s="98"/>
      <c r="D20" s="99"/>
      <c r="E20" s="99"/>
      <c r="F20" s="100"/>
      <c r="G20" s="97"/>
      <c r="H20" s="97"/>
      <c r="I20" s="152"/>
      <c r="J20" s="153"/>
      <c r="K20" s="153"/>
      <c r="L20" s="153"/>
      <c r="M20" s="154"/>
      <c r="O20" t="s">
        <v>12</v>
      </c>
    </row>
    <row r="21" spans="3:17" ht="22" customHeight="1">
      <c r="C21" s="98"/>
      <c r="D21" s="101" t="s">
        <v>13</v>
      </c>
      <c r="E21" s="99"/>
      <c r="F21" s="102" t="s">
        <v>0</v>
      </c>
      <c r="G21" s="97"/>
      <c r="H21" s="97"/>
      <c r="I21" s="98"/>
      <c r="J21" s="99"/>
      <c r="K21" s="99"/>
      <c r="L21" s="99"/>
      <c r="M21" s="100"/>
      <c r="O21" t="s">
        <v>14</v>
      </c>
    </row>
    <row r="22" spans="3:17" ht="22" customHeight="1">
      <c r="C22" s="98"/>
      <c r="D22" s="99"/>
      <c r="E22" s="99"/>
      <c r="F22" s="100"/>
      <c r="G22" s="97"/>
      <c r="H22" s="97"/>
      <c r="I22" s="144" t="s">
        <v>15</v>
      </c>
      <c r="J22" s="145"/>
      <c r="K22" s="124"/>
      <c r="L22" s="123">
        <f>IFERROR(F34,"")</f>
        <v>219.15384615384619</v>
      </c>
      <c r="M22" s="124"/>
      <c r="O22" t="s">
        <v>16</v>
      </c>
    </row>
    <row r="23" spans="3:17" ht="22" customHeight="1">
      <c r="C23" s="98"/>
      <c r="D23" s="105" t="s">
        <v>17</v>
      </c>
      <c r="E23" s="99"/>
      <c r="F23" s="106">
        <f>IFERROR($P$11,"")</f>
        <v>46053</v>
      </c>
      <c r="G23" s="97"/>
      <c r="H23" s="97"/>
      <c r="I23" s="144" t="s">
        <v>18</v>
      </c>
      <c r="J23" s="145"/>
      <c r="K23" s="124"/>
      <c r="L23" s="123">
        <f ca="1">IFERROR(L35,"")</f>
        <v>75.060192307692333</v>
      </c>
      <c r="M23" s="124"/>
    </row>
    <row r="24" spans="3:17" ht="22" customHeight="1">
      <c r="C24" s="98"/>
      <c r="D24" s="105" t="s">
        <v>19</v>
      </c>
      <c r="E24" s="99"/>
      <c r="F24" s="107">
        <f>IFERROR($P$12,"")</f>
        <v>11</v>
      </c>
      <c r="G24" s="97"/>
      <c r="H24" s="97"/>
      <c r="I24" s="144" t="s">
        <v>20</v>
      </c>
      <c r="J24" s="145"/>
      <c r="K24" s="124"/>
      <c r="L24" s="123">
        <f ca="1">IFERROR(L41,"")</f>
        <v>204.90884615384618</v>
      </c>
      <c r="M24" s="124"/>
    </row>
    <row r="25" spans="3:17" ht="22" customHeight="1">
      <c r="C25" s="108"/>
      <c r="D25" s="109" t="s">
        <v>21</v>
      </c>
      <c r="E25" s="110"/>
      <c r="F25" s="107">
        <f>IFERROR($P$13,"")</f>
        <v>3</v>
      </c>
      <c r="G25" s="97"/>
      <c r="H25" s="97"/>
      <c r="I25" s="108"/>
      <c r="J25" s="110"/>
      <c r="K25" s="110"/>
      <c r="L25" s="110"/>
      <c r="M25" s="111"/>
    </row>
    <row r="26" spans="3:17" ht="16" thickBot="1"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7"/>
    </row>
    <row r="27" spans="3:17" ht="22" customHeight="1">
      <c r="C27" s="159" t="s">
        <v>22</v>
      </c>
      <c r="D27" s="160"/>
      <c r="E27" s="160"/>
      <c r="F27" s="161"/>
      <c r="G27" s="97"/>
      <c r="H27" s="97"/>
      <c r="I27" s="140" t="s">
        <v>23</v>
      </c>
      <c r="J27" s="141"/>
      <c r="K27" s="141"/>
      <c r="L27" s="141"/>
      <c r="M27" s="141"/>
    </row>
    <row r="28" spans="3:17" ht="22" customHeight="1">
      <c r="C28" s="98"/>
      <c r="D28" s="99"/>
      <c r="E28" s="99"/>
      <c r="F28" s="100"/>
      <c r="G28" s="97"/>
      <c r="H28" s="97"/>
      <c r="I28" s="142"/>
      <c r="J28" s="143"/>
      <c r="K28" s="143"/>
      <c r="L28" s="143"/>
      <c r="M28" s="143"/>
    </row>
    <row r="29" spans="3:17" ht="21" customHeight="1">
      <c r="C29" s="112"/>
      <c r="D29" s="113" t="s">
        <v>24</v>
      </c>
      <c r="E29" s="104"/>
      <c r="F29" s="118">
        <f>IFERROR(INDEX(Costes_26!$C$6:$C$44,$P$14),"")</f>
        <v>136.52000000000001</v>
      </c>
      <c r="G29" s="97"/>
      <c r="H29" s="97"/>
      <c r="I29" s="162" t="s">
        <v>91</v>
      </c>
      <c r="J29" s="129"/>
      <c r="K29" s="130"/>
      <c r="L29" s="167">
        <f ca="1">IFERROR($F$36*'Costes Netos_26'!$U$36,"")</f>
        <v>51.720307692307699</v>
      </c>
      <c r="M29" s="124"/>
    </row>
    <row r="30" spans="3:17" ht="21" customHeight="1">
      <c r="C30" s="98"/>
      <c r="D30" s="101" t="s">
        <v>25</v>
      </c>
      <c r="E30" s="99"/>
      <c r="F30" s="119">
        <f>IFERROR(INDEX(Costes_26!$D$6:$D$44,$P$14),"")</f>
        <v>13.027692307692314</v>
      </c>
      <c r="G30" s="97"/>
      <c r="H30" s="97"/>
      <c r="I30" s="128" t="s">
        <v>26</v>
      </c>
      <c r="J30" s="129"/>
      <c r="K30" s="130"/>
      <c r="L30" s="163">
        <f ca="1">IFERROR($F$36*'Costes Netos_26'!$U$39,"")</f>
        <v>7.8895384615384625</v>
      </c>
      <c r="M30" s="124"/>
    </row>
    <row r="31" spans="3:17" ht="21" customHeight="1">
      <c r="C31" s="112"/>
      <c r="D31" s="113" t="s">
        <v>27</v>
      </c>
      <c r="E31" s="104"/>
      <c r="F31" s="118">
        <f>IFERROR(16.28*$P$13*($F$17/39),"")</f>
        <v>7.5138461538461545</v>
      </c>
      <c r="G31" s="97"/>
      <c r="H31" s="97"/>
      <c r="I31" s="162" t="s">
        <v>92</v>
      </c>
      <c r="J31" s="129"/>
      <c r="K31" s="130"/>
      <c r="L31" s="167">
        <f ca="1">IFERROR($F$36*'Costes Netos_26'!$U$42,"")</f>
        <v>12.053461538461541</v>
      </c>
      <c r="M31" s="124"/>
    </row>
    <row r="32" spans="3:17" ht="21" customHeight="1">
      <c r="C32" s="98"/>
      <c r="D32" s="101" t="s">
        <v>28</v>
      </c>
      <c r="E32" s="99"/>
      <c r="F32" s="119">
        <f>IFERROR(((Costes_26!$P$12/39)*$F$17)-(F29+F30+F31+F33),"")</f>
        <v>26.083846153846167</v>
      </c>
      <c r="G32" s="97"/>
      <c r="H32" s="97"/>
      <c r="I32" s="128" t="s">
        <v>93</v>
      </c>
      <c r="J32" s="129"/>
      <c r="K32" s="130"/>
      <c r="L32" s="163">
        <f ca="1">IFERROR($F$36*'Costes Netos_26'!$U$45,"")</f>
        <v>1.3149230769230771</v>
      </c>
      <c r="M32" s="124"/>
    </row>
    <row r="33" spans="3:13" ht="21" customHeight="1">
      <c r="C33" s="112"/>
      <c r="D33" s="113" t="s">
        <v>29</v>
      </c>
      <c r="E33" s="104"/>
      <c r="F33" s="118">
        <f>IFERROR(((F29+F31)/360)*30*3,"")</f>
        <v>36.008461538461539</v>
      </c>
      <c r="G33" s="97"/>
      <c r="H33" s="97"/>
      <c r="I33" s="162" t="s">
        <v>30</v>
      </c>
      <c r="J33" s="129"/>
      <c r="K33" s="130"/>
      <c r="L33" s="167">
        <f ca="1">IFERROR($F$36*'Costes Netos_26'!$U$48,"")</f>
        <v>0.4383076923076924</v>
      </c>
      <c r="M33" s="124"/>
    </row>
    <row r="34" spans="3:13" ht="21" customHeight="1" thickBot="1">
      <c r="C34" s="98"/>
      <c r="D34" s="105" t="s">
        <v>15</v>
      </c>
      <c r="E34" s="99"/>
      <c r="F34" s="120">
        <f>IFERROR(SUM(F29:F33),"")</f>
        <v>219.15384615384619</v>
      </c>
      <c r="G34" s="97"/>
      <c r="H34" s="97"/>
      <c r="I34" s="169" t="s">
        <v>31</v>
      </c>
      <c r="J34" s="170"/>
      <c r="K34" s="171"/>
      <c r="L34" s="178">
        <f ca="1">IFERROR($F$36*'Costes Netos_26'!$U$51,"")</f>
        <v>1.6436538461538464</v>
      </c>
      <c r="M34" s="180"/>
    </row>
    <row r="35" spans="3:13" ht="21" customHeight="1" thickBot="1">
      <c r="C35" s="112"/>
      <c r="D35" s="104"/>
      <c r="E35" s="104"/>
      <c r="F35" s="115"/>
      <c r="G35" s="97"/>
      <c r="H35" s="97"/>
      <c r="I35" s="164" t="s">
        <v>32</v>
      </c>
      <c r="J35" s="165"/>
      <c r="K35" s="166"/>
      <c r="L35" s="176">
        <f ca="1">IFERROR(SUM(L29:L34),"")</f>
        <v>75.060192307692333</v>
      </c>
      <c r="M35" s="184"/>
    </row>
    <row r="36" spans="3:13" ht="21" customHeight="1">
      <c r="C36" s="98"/>
      <c r="D36" s="105" t="s">
        <v>33</v>
      </c>
      <c r="E36" s="99"/>
      <c r="F36" s="114">
        <f ca="1">IFERROR(INDEX('Base cotización por meses'!$C$51:$N$89,$P$14,$P$15),"")</f>
        <v>219.15384615384619</v>
      </c>
      <c r="G36" s="97"/>
      <c r="H36" s="97"/>
      <c r="I36" s="131"/>
      <c r="J36" s="132"/>
      <c r="K36" s="132"/>
      <c r="L36" s="132"/>
      <c r="M36" s="133"/>
    </row>
    <row r="37" spans="3:13" ht="21" customHeight="1" thickBot="1">
      <c r="C37" s="108"/>
      <c r="D37" s="110"/>
      <c r="E37" s="110"/>
      <c r="F37" s="111"/>
      <c r="G37" s="97"/>
      <c r="H37" s="97"/>
      <c r="I37" s="162" t="s">
        <v>94</v>
      </c>
      <c r="J37" s="129"/>
      <c r="K37" s="130"/>
      <c r="L37" s="167">
        <f ca="1">IFERROR($F$36*'Costes Netos_26'!$U$56,"")</f>
        <v>10.300230769230771</v>
      </c>
      <c r="M37" s="168"/>
    </row>
    <row r="38" spans="3:13" ht="21" customHeight="1">
      <c r="C38" s="97"/>
      <c r="D38" s="97"/>
      <c r="E38" s="97"/>
      <c r="F38" s="97"/>
      <c r="G38" s="97"/>
      <c r="H38" s="97"/>
      <c r="I38" s="128" t="s">
        <v>34</v>
      </c>
      <c r="J38" s="129"/>
      <c r="K38" s="130"/>
      <c r="L38" s="163">
        <f ca="1">IFERROR($F$36*'Costes Netos_26'!$U$59,"")</f>
        <v>0.2191538461538462</v>
      </c>
      <c r="M38" s="168"/>
    </row>
    <row r="39" spans="3:13" ht="21" customHeight="1">
      <c r="C39" s="181" t="s">
        <v>35</v>
      </c>
      <c r="D39" s="182"/>
      <c r="E39" s="182"/>
      <c r="F39" s="183"/>
      <c r="G39" s="97"/>
      <c r="H39" s="97"/>
      <c r="I39" s="162" t="s">
        <v>36</v>
      </c>
      <c r="J39" s="129"/>
      <c r="K39" s="130"/>
      <c r="L39" s="167">
        <f ca="1">IFERROR($F$36*'Costes Netos_26'!$U$62,"")</f>
        <v>3.3968846153846157</v>
      </c>
      <c r="M39" s="168"/>
    </row>
    <row r="40" spans="3:13" ht="21" customHeight="1" thickBot="1">
      <c r="C40" s="172"/>
      <c r="D40" s="173"/>
      <c r="E40" s="173"/>
      <c r="F40" s="173"/>
      <c r="G40" s="97"/>
      <c r="H40" s="97"/>
      <c r="I40" s="169" t="s">
        <v>37</v>
      </c>
      <c r="J40" s="170"/>
      <c r="K40" s="171"/>
      <c r="L40" s="178">
        <f ca="1">IFERROR($F$36*'Costes Netos_26'!$U$65,"")</f>
        <v>0.32873076923076927</v>
      </c>
      <c r="M40" s="179"/>
    </row>
    <row r="41" spans="3:13" ht="21" customHeight="1" thickBot="1">
      <c r="C41" s="174"/>
      <c r="D41" s="175"/>
      <c r="E41" s="175"/>
      <c r="F41" s="175"/>
      <c r="G41" s="97"/>
      <c r="H41" s="97"/>
      <c r="I41" s="164" t="s">
        <v>20</v>
      </c>
      <c r="J41" s="165"/>
      <c r="K41" s="166"/>
      <c r="L41" s="176">
        <f ca="1">IFERROR($F$34-SUM(L37:L40),"")</f>
        <v>204.90884615384618</v>
      </c>
      <c r="M41" s="177"/>
    </row>
    <row r="42" spans="3:13" ht="21" customHeight="1">
      <c r="C42" s="174"/>
      <c r="D42" s="175"/>
      <c r="E42" s="175"/>
      <c r="F42" s="175"/>
      <c r="G42" s="97"/>
      <c r="H42" s="97"/>
      <c r="I42" s="117"/>
      <c r="J42" s="117"/>
      <c r="K42" s="117"/>
      <c r="L42" s="117"/>
      <c r="M42" s="117"/>
    </row>
    <row r="43" spans="3:13" ht="21" customHeight="1">
      <c r="C43" s="174"/>
      <c r="D43" s="175"/>
      <c r="E43" s="175"/>
      <c r="F43" s="175"/>
      <c r="G43" s="97"/>
      <c r="H43" s="97"/>
      <c r="I43" s="117"/>
      <c r="J43" s="117"/>
      <c r="K43" s="117"/>
      <c r="L43" s="117"/>
      <c r="M43" s="117"/>
    </row>
    <row r="44" spans="3:13"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</row>
    <row r="45" spans="3:13"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</row>
    <row r="46" spans="3:13"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</row>
    <row r="47" spans="3:13">
      <c r="C47" s="97"/>
      <c r="D47" s="97"/>
      <c r="E47" s="97"/>
      <c r="F47" s="97"/>
      <c r="G47" s="97"/>
      <c r="H47" s="97"/>
      <c r="I47" s="97"/>
      <c r="J47" s="97"/>
      <c r="K47" s="97"/>
      <c r="L47" s="97"/>
      <c r="M47" s="97"/>
    </row>
    <row r="48" spans="3:13">
      <c r="C48" s="97"/>
      <c r="D48" s="97"/>
      <c r="E48" s="97"/>
      <c r="F48" s="97"/>
      <c r="G48" s="97"/>
      <c r="H48" s="97"/>
      <c r="I48" s="97"/>
      <c r="J48" s="97"/>
      <c r="K48" s="97"/>
      <c r="L48" s="97"/>
      <c r="M48" s="97"/>
    </row>
    <row r="49" spans="3:13">
      <c r="C49" s="97"/>
      <c r="D49" s="97"/>
      <c r="E49" s="97"/>
      <c r="F49" s="97"/>
      <c r="G49" s="97"/>
      <c r="H49" s="97"/>
      <c r="I49" s="97"/>
      <c r="J49" s="97"/>
      <c r="K49" s="97"/>
      <c r="L49" s="97"/>
      <c r="M49" s="97"/>
    </row>
  </sheetData>
  <mergeCells count="41">
    <mergeCell ref="I40:K40"/>
    <mergeCell ref="C40:F43"/>
    <mergeCell ref="I41:K41"/>
    <mergeCell ref="L29:M29"/>
    <mergeCell ref="I31:K31"/>
    <mergeCell ref="I37:K37"/>
    <mergeCell ref="L41:M41"/>
    <mergeCell ref="L40:M40"/>
    <mergeCell ref="L31:M31"/>
    <mergeCell ref="I33:K33"/>
    <mergeCell ref="L39:M39"/>
    <mergeCell ref="L34:M34"/>
    <mergeCell ref="I34:K34"/>
    <mergeCell ref="L33:M33"/>
    <mergeCell ref="C39:F39"/>
    <mergeCell ref="L35:M35"/>
    <mergeCell ref="I39:K39"/>
    <mergeCell ref="L32:M32"/>
    <mergeCell ref="I35:K35"/>
    <mergeCell ref="L23:M23"/>
    <mergeCell ref="I38:K38"/>
    <mergeCell ref="I29:K29"/>
    <mergeCell ref="L37:M37"/>
    <mergeCell ref="I24:K24"/>
    <mergeCell ref="L24:M24"/>
    <mergeCell ref="L30:M30"/>
    <mergeCell ref="L38:M38"/>
    <mergeCell ref="C11:M12"/>
    <mergeCell ref="L22:M22"/>
    <mergeCell ref="I17:M17"/>
    <mergeCell ref="I30:K30"/>
    <mergeCell ref="I36:M36"/>
    <mergeCell ref="I15:M16"/>
    <mergeCell ref="I27:M28"/>
    <mergeCell ref="I23:K23"/>
    <mergeCell ref="I32:K32"/>
    <mergeCell ref="I22:K22"/>
    <mergeCell ref="I18:M20"/>
    <mergeCell ref="C13:M13"/>
    <mergeCell ref="C15:F15"/>
    <mergeCell ref="C27:F27"/>
  </mergeCells>
  <dataValidations count="3">
    <dataValidation type="whole" errorTitle="Dato no válido" error="Las horas deben ser un número entero entre 1 y 39." promptTitle="Horas" prompt="Introduce las horas semanales (1 a 39)." sqref="F17" xr:uid="{00000000-0002-0000-0000-000000000000}">
      <formula1>1</formula1>
      <formula2>39</formula2>
    </dataValidation>
    <dataValidation type="date" errorTitle="Fecha no válida" error="Introduce una fecha entre 01/01/1980 y 31/12/2026." promptTitle="Fecha de antigüedad" prompt="Escribe la fecha de antigüedad en formato dd/mm/aaaa." sqref="F19" xr:uid="{00000000-0002-0000-0000-000001000000}">
      <formula1>DATE(1980,1,1)</formula1>
      <formula2>DATE(2026,12,31)</formula2>
    </dataValidation>
    <dataValidation type="list" errorTitle="Mes no válido" error="Selecciona un mes de la lista." promptTitle="Mes" prompt="Elige un mes." sqref="F21" xr:uid="{00000000-0002-0000-0000-000002000000}">
      <formula1>$O$11:$O$22</formula1>
    </dataValidation>
  </dataValidations>
  <pageMargins left="0.75" right="0.75" top="1" bottom="1" header="0.5" footer="0.5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3"/>
  <dimension ref="B2:U59"/>
  <sheetViews>
    <sheetView zoomScale="88" zoomScaleNormal="70" workbookViewId="0">
      <selection activeCell="T5" sqref="T5"/>
    </sheetView>
  </sheetViews>
  <sheetFormatPr baseColWidth="10" defaultColWidth="11.5" defaultRowHeight="15"/>
  <cols>
    <col min="1" max="2" width="11.5" style="11" customWidth="1"/>
    <col min="3" max="3" width="17.33203125" style="11" bestFit="1" customWidth="1"/>
    <col min="4" max="4" width="14.1640625" style="11" bestFit="1" customWidth="1"/>
    <col min="5" max="5" width="11.5" style="11" customWidth="1"/>
    <col min="6" max="6" width="17.33203125" style="11" bestFit="1" customWidth="1"/>
    <col min="7" max="7" width="11.83203125" style="11" bestFit="1" customWidth="1"/>
    <col min="8" max="8" width="14.33203125" style="54" bestFit="1" customWidth="1"/>
    <col min="9" max="9" width="14.33203125" style="54" customWidth="1"/>
    <col min="10" max="11" width="11.33203125" style="11" customWidth="1"/>
    <col min="12" max="12" width="11.1640625" style="11" bestFit="1" customWidth="1"/>
    <col min="13" max="13" width="15.5" style="11" bestFit="1" customWidth="1"/>
    <col min="14" max="15" width="13.83203125" style="11" customWidth="1"/>
    <col min="16" max="16" width="15.5" style="11" bestFit="1" customWidth="1"/>
    <col min="17" max="17" width="12.5" style="11" bestFit="1" customWidth="1"/>
    <col min="18" max="19" width="11.5" style="11" customWidth="1"/>
    <col min="20" max="20" width="16.1640625" style="11" bestFit="1" customWidth="1"/>
    <col min="21" max="21" width="11.5" style="11" customWidth="1"/>
    <col min="22" max="16384" width="11.5" style="11"/>
  </cols>
  <sheetData>
    <row r="2" spans="2:20" ht="16" customHeight="1" thickBot="1">
      <c r="B2" s="52" t="s">
        <v>38</v>
      </c>
      <c r="C2" s="53"/>
      <c r="D2" s="53"/>
    </row>
    <row r="3" spans="2:20" ht="16" customHeight="1" thickBot="1">
      <c r="B3" s="55"/>
      <c r="P3" s="8"/>
      <c r="Q3" s="56" t="s">
        <v>39</v>
      </c>
      <c r="R3" s="10"/>
      <c r="S3" s="10"/>
    </row>
    <row r="4" spans="2:20" ht="16" customHeight="1" thickBot="1">
      <c r="H4" s="191" t="s">
        <v>40</v>
      </c>
      <c r="I4" s="192"/>
      <c r="J4" s="192"/>
      <c r="K4" s="192"/>
      <c r="L4" s="192"/>
      <c r="M4" s="192"/>
      <c r="Q4" s="56" t="s">
        <v>41</v>
      </c>
    </row>
    <row r="5" spans="2:20" ht="49" customHeight="1" thickBot="1">
      <c r="B5" s="57" t="s">
        <v>42</v>
      </c>
      <c r="C5" s="58" t="s">
        <v>43</v>
      </c>
      <c r="D5" s="57" t="s">
        <v>44</v>
      </c>
      <c r="E5" s="58" t="s">
        <v>27</v>
      </c>
      <c r="F5" s="57" t="s">
        <v>45</v>
      </c>
      <c r="G5" s="58" t="s">
        <v>46</v>
      </c>
      <c r="H5" s="59" t="s">
        <v>47</v>
      </c>
      <c r="I5" s="59" t="s">
        <v>48</v>
      </c>
      <c r="J5" s="60" t="s">
        <v>26</v>
      </c>
      <c r="K5" s="60" t="s">
        <v>49</v>
      </c>
      <c r="L5" s="59" t="s">
        <v>50</v>
      </c>
      <c r="M5" s="59" t="s">
        <v>51</v>
      </c>
      <c r="N5" s="61" t="s">
        <v>52</v>
      </c>
    </row>
    <row r="6" spans="2:20" ht="16" customHeight="1" thickBot="1">
      <c r="B6" s="3">
        <v>39</v>
      </c>
      <c r="C6" s="48">
        <v>887.38</v>
      </c>
      <c r="D6" s="48">
        <v>84.68</v>
      </c>
      <c r="E6" s="9">
        <f ca="1">16.28*Q8</f>
        <v>130.24</v>
      </c>
      <c r="F6" s="9">
        <f t="shared" ref="F6:F44" ca="1" si="0">(($P$12/39)*B6)-(C6+D6+E6+G6)</f>
        <v>67.7950000000003</v>
      </c>
      <c r="G6" s="9">
        <f t="shared" ref="G6:G44" ca="1" si="1">((C6+E6)/360)*30*3</f>
        <v>254.40499999999997</v>
      </c>
      <c r="H6" s="62">
        <f ca="1">IF($P$33="enero",'Base cotización por meses'!C51,IF($P$33="febrero",'Base cotización por meses'!D51,IF($P$33="marzo",'Base cotización por meses'!E51,IF($P$33="abril",'Base cotización por meses'!F51,IF($P$33="mayo",'Base cotización por meses'!G51,IF($P$33="junio",'Base cotización por meses'!H51,IF($P$33="julio",'Base cotización por meses'!I51,IF($P$33="agosto",'Base cotización por meses'!J51,IF($P$33="septiembre",'Base cotización por meses'!K51,IF($P$33="octubre",'Base cotización por meses'!L51,IF($P$33="noviembre",'Base cotización por meses'!M51,IF($P$33="diciembre",'Base cotización por meses'!N51,IF($P$33="media",'Base cotización por meses'!H6)))))))))))))*$P$36</f>
        <v>336.18200000000002</v>
      </c>
      <c r="I6" s="62">
        <f ca="1">IF($P$33="enero",'Base cotización por meses'!C51,IF($P$33="febrero",'Base cotización por meses'!D51,IF($P$33="marzo",'Base cotización por meses'!E51,IF($P$33="abril",'Base cotización por meses'!F51,IF($P$33="mayo",'Base cotización por meses'!G51,IF($P$33="junio",'Base cotización por meses'!H51,IF($P$33="julio",'Base cotización por meses'!I51,IF($P$33="agosto",'Base cotización por meses'!J51,IF($P$33="septiembre",'Base cotización por meses'!K51,IF($P$33="octubre",'Base cotización por meses'!L51,IF($P$33="noviembre",'Base cotización por meses'!M51,IF($P$33="diciembre",'Base cotización por meses'!N51,IF($P$33="media",'Base cotización por meses'!H6)))))))))))))*$P$51</f>
        <v>10.683750000000002</v>
      </c>
      <c r="J6" s="62">
        <f ca="1">IF($P$33="enero",'Base cotización por meses'!C51,IF($P$33="febrero",'Base cotización por meses'!D51,IF($P$33="marzo",'Base cotización por meses'!E51,IF($P$33="abril",'Base cotización por meses'!F51,IF($P$33="mayo",'Base cotización por meses'!G51,IF($P$33="junio",'Base cotización por meses'!H51,IF($P$33="julio",'Base cotización por meses'!I51,IF($P$33="agosto",'Base cotización por meses'!J51,IF($P$33="septiembre",'Base cotización por meses'!K51,IF($P$33="octubre",'Base cotización por meses'!L51,IF($P$33="noviembre",'Base cotización por meses'!M51,IF($P$33="diciembre",'Base cotización por meses'!N51,IF($P$33="media",'Base cotización por meses'!H6)))))))))))))*$P$39</f>
        <v>51.282000000000004</v>
      </c>
      <c r="K6" s="62">
        <f ca="1">IF($P$33="enero",'Base cotización por meses'!C51,IF($P$33="febrero",'Base cotización por meses'!D51,IF($P$33="marzo",'Base cotización por meses'!E51,IF($P$33="abril",'Base cotización por meses'!F51,IF($P$33="mayo",'Base cotización por meses'!G51,IF($P$33="junio",'Base cotización por meses'!H51,IF($P$33="julio",'Base cotización por meses'!I51,IF($P$33="agosto",'Base cotización por meses'!J51,IF($P$33="septiembre",'Base cotización por meses'!K51,IF($P$33="octubre",'Base cotización por meses'!L51,IF($P$33="noviembre",'Base cotización por meses'!M51,IF($P$33="diciembre",'Base cotización por meses'!N51,IF($P$33="media",'Base cotización por meses'!H6)))))))))))))*$P$42</f>
        <v>78.347500000000011</v>
      </c>
      <c r="L6" s="62">
        <f ca="1">IF($P$33="enero",'Base cotización por meses'!C51,IF($P$33="febrero",'Base cotización por meses'!D51,IF($P$33="marzo",'Base cotización por meses'!E51,IF($P$33="abril",'Base cotización por meses'!F51,IF($P$33="mayo",'Base cotización por meses'!G51,IF($P$33="junio",'Base cotización por meses'!H51,IF($P$33="julio",'Base cotización por meses'!I51,IF($P$33="agosto",'Base cotización por meses'!J51,IF($P$33="septiembre",'Base cotización por meses'!K51,IF($P$33="octubre",'Base cotización por meses'!L51,IF($P$33="noviembre",'Base cotización por meses'!M51,IF($P$33="diciembre",'Base cotización por meses'!N51,IF($P$33="media",'Base cotización por meses'!H6)))))))))))))*$P$45</f>
        <v>8.5470000000000024</v>
      </c>
      <c r="M6" s="62">
        <f ca="1">IF($P$33="enero",'Base cotización por meses'!C51,IF($P$33="febrero",'Base cotización por meses'!D51,IF($P$33="marzo",'Base cotización por meses'!E51,IF($P$33="abril",'Base cotización por meses'!F51,IF($P$33="mayo",'Base cotización por meses'!G51,IF($P$33="junio",'Base cotización por meses'!H51,IF($P$33="julio",'Base cotización por meses'!I51,IF($P$33="agosto",'Base cotización por meses'!J51,IF($P$33="septiembre",'Base cotización por meses'!K51,IF($P$33="octubre",'Base cotización por meses'!L51,IF($P$33="noviembre",'Base cotización por meses'!M51,IF($P$33="diciembre",'Base cotización por meses'!N51,IF($P$33="media",'Base cotización por meses'!H6)))))))))))))*$P$48</f>
        <v>2.8490000000000006</v>
      </c>
      <c r="N6" s="49">
        <f t="shared" ref="N6:N44" ca="1" si="2">SUM(C6:M6)</f>
        <v>1912.3912500000001</v>
      </c>
      <c r="O6" s="2"/>
      <c r="P6" s="2"/>
      <c r="Q6" s="2"/>
      <c r="R6" s="2"/>
      <c r="T6" s="10"/>
    </row>
    <row r="7" spans="2:20" ht="16" customHeight="1" thickBot="1">
      <c r="B7" s="3">
        <v>38</v>
      </c>
      <c r="C7" s="9">
        <f t="shared" ref="C7:C44" si="3">(B7/B6)*C6</f>
        <v>864.62666666666667</v>
      </c>
      <c r="D7" s="9">
        <f t="shared" ref="D7:D44" si="4">(B7/B6)*D6</f>
        <v>82.508717948717958</v>
      </c>
      <c r="E7" s="9">
        <f t="shared" ref="E7:E44" ca="1" si="5">(B7/B6)*E6</f>
        <v>126.90051282051283</v>
      </c>
      <c r="F7" s="9">
        <f t="shared" ca="1" si="0"/>
        <v>66.056666666666843</v>
      </c>
      <c r="G7" s="9">
        <f t="shared" ca="1" si="1"/>
        <v>247.88179487179485</v>
      </c>
      <c r="H7" s="62">
        <f ca="1">IF($P$33="enero",'Base cotización por meses'!C52,IF($P$33="febrero",'Base cotización por meses'!D52,IF($P$33="marzo",'Base cotización por meses'!E52,IF($P$33="abril",'Base cotización por meses'!F52,IF($P$33="mayo",'Base cotización por meses'!G52,IF($P$33="junio",'Base cotización por meses'!H52,IF($P$33="julio",'Base cotización por meses'!I52,IF($P$33="agosto",'Base cotización por meses'!J52,IF($P$33="septiembre",'Base cotización por meses'!K52,IF($P$33="octubre",'Base cotización por meses'!L52,IF($P$33="noviembre",'Base cotización por meses'!M52,IF($P$33="diciembre",'Base cotización por meses'!N52,IF($P$33="media",'Base cotización por meses'!H7)))))))))))))*$P$36</f>
        <v>327.56194871794872</v>
      </c>
      <c r="I7" s="62">
        <f ca="1">IF($P$33="enero",'Base cotización por meses'!C52,IF($P$33="febrero",'Base cotización por meses'!D52,IF($P$33="marzo",'Base cotización por meses'!E52,IF($P$33="abril",'Base cotización por meses'!F52,IF($P$33="mayo",'Base cotización por meses'!G52,IF($P$33="junio",'Base cotización por meses'!H52,IF($P$33="julio",'Base cotización por meses'!I52,IF($P$33="agosto",'Base cotización por meses'!J52,IF($P$33="septiembre",'Base cotización por meses'!K52,IF($P$33="octubre",'Base cotización por meses'!L52,IF($P$33="noviembre",'Base cotización por meses'!M52,IF($P$33="diciembre",'Base cotización por meses'!N52,IF($P$33="media",'Base cotización por meses'!H7)))))))))))))*$P$51</f>
        <v>10.409807692307693</v>
      </c>
      <c r="J7" s="62">
        <f ca="1">IF($P$33="enero",'Base cotización por meses'!C52,IF($P$33="febrero",'Base cotización por meses'!D52,IF($P$33="marzo",'Base cotización por meses'!E52,IF($P$33="abril",'Base cotización por meses'!F52,IF($P$33="mayo",'Base cotización por meses'!G52,IF($P$33="junio",'Base cotización por meses'!H52,IF($P$33="julio",'Base cotización por meses'!I52,IF($P$33="agosto",'Base cotización por meses'!J52,IF($P$33="septiembre",'Base cotización por meses'!K52,IF($P$33="octubre",'Base cotización por meses'!L52,IF($P$33="noviembre",'Base cotización por meses'!M52,IF($P$33="diciembre",'Base cotización por meses'!N52,IF($P$33="media",'Base cotización por meses'!H7)))))))))))))*$P$39</f>
        <v>49.967076923076924</v>
      </c>
      <c r="K7" s="62">
        <f ca="1">IF($P$33="enero",'Base cotización por meses'!C52,IF($P$33="febrero",'Base cotización por meses'!D52,IF($P$33="marzo",'Base cotización por meses'!E52,IF($P$33="abril",'Base cotización por meses'!F52,IF($P$33="mayo",'Base cotización por meses'!G52,IF($P$33="junio",'Base cotización por meses'!H52,IF($P$33="julio",'Base cotización por meses'!I52,IF($P$33="agosto",'Base cotización por meses'!J52,IF($P$33="septiembre",'Base cotización por meses'!K52,IF($P$33="octubre",'Base cotización por meses'!L52,IF($P$33="noviembre",'Base cotización por meses'!M52,IF($P$33="diciembre",'Base cotización por meses'!N52,IF($P$33="media",'Base cotización por meses'!H7)))))))))))))*$P$42</f>
        <v>76.33858974358975</v>
      </c>
      <c r="L7" s="62">
        <f ca="1">IF($P$33="enero",'Base cotización por meses'!C52,IF($P$33="febrero",'Base cotización por meses'!D52,IF($P$33="marzo",'Base cotización por meses'!E52,IF($P$33="abril",'Base cotización por meses'!F52,IF($P$33="mayo",'Base cotización por meses'!G52,IF($P$33="junio",'Base cotización por meses'!H52,IF($P$33="julio",'Base cotización por meses'!I52,IF($P$33="agosto",'Base cotización por meses'!J52,IF($P$33="septiembre",'Base cotización por meses'!K52,IF($P$33="octubre",'Base cotización por meses'!L52,IF($P$33="noviembre",'Base cotización por meses'!M52,IF($P$33="diciembre",'Base cotización por meses'!N52,IF($P$33="media",'Base cotización por meses'!H7)))))))))))))*$P$45</f>
        <v>8.3278461538461546</v>
      </c>
      <c r="M7" s="62">
        <f ca="1">IF($P$33="enero",'Base cotización por meses'!C52,IF($P$33="febrero",'Base cotización por meses'!D52,IF($P$33="marzo",'Base cotización por meses'!E52,IF($P$33="abril",'Base cotización por meses'!F52,IF($P$33="mayo",'Base cotización por meses'!G52,IF($P$33="junio",'Base cotización por meses'!H52,IF($P$33="julio",'Base cotización por meses'!I52,IF($P$33="agosto",'Base cotización por meses'!J52,IF($P$33="septiembre",'Base cotización por meses'!K52,IF($P$33="octubre",'Base cotización por meses'!L52,IF($P$33="noviembre",'Base cotización por meses'!M52,IF($P$33="diciembre",'Base cotización por meses'!N52,IF($P$33="media",'Base cotización por meses'!H7)))))))))))))*$P$48</f>
        <v>2.7759487179487183</v>
      </c>
      <c r="N7" s="50">
        <f t="shared" ca="1" si="2"/>
        <v>1863.355576923077</v>
      </c>
      <c r="O7" s="2"/>
      <c r="P7" s="63" t="s">
        <v>27</v>
      </c>
      <c r="Q7" s="64" t="s">
        <v>21</v>
      </c>
      <c r="R7" s="2"/>
    </row>
    <row r="8" spans="2:20">
      <c r="B8" s="3">
        <v>37</v>
      </c>
      <c r="C8" s="9">
        <f t="shared" si="3"/>
        <v>841.87333333333333</v>
      </c>
      <c r="D8" s="9">
        <f t="shared" si="4"/>
        <v>80.33743589743591</v>
      </c>
      <c r="E8" s="9">
        <f t="shared" ca="1" si="5"/>
        <v>123.56102564102565</v>
      </c>
      <c r="F8" s="9">
        <f t="shared" ca="1" si="0"/>
        <v>64.318333333333385</v>
      </c>
      <c r="G8" s="9">
        <f t="shared" ca="1" si="1"/>
        <v>241.35858974358973</v>
      </c>
      <c r="H8" s="62">
        <f ca="1">IF($P$33="enero",'Base cotización por meses'!C53,IF($P$33="febrero",'Base cotización por meses'!D53,IF($P$33="marzo",'Base cotización por meses'!E53,IF($P$33="abril",'Base cotización por meses'!F53,IF($P$33="mayo",'Base cotización por meses'!G53,IF($P$33="junio",'Base cotización por meses'!H53,IF($P$33="julio",'Base cotización por meses'!I53,IF($P$33="agosto",'Base cotización por meses'!J53,IF($P$33="septiembre",'Base cotización por meses'!K53,IF($P$33="octubre",'Base cotización por meses'!L53,IF($P$33="noviembre",'Base cotización por meses'!M53,IF($P$33="diciembre",'Base cotización por meses'!N53,IF($P$33="media",'Base cotización por meses'!H8)))))))))))))*$P$36</f>
        <v>318.94189743589749</v>
      </c>
      <c r="I8" s="62">
        <f ca="1">IF($P$33="enero",'Base cotización por meses'!C53,IF($P$33="febrero",'Base cotización por meses'!D53,IF($P$33="marzo",'Base cotización por meses'!E53,IF($P$33="abril",'Base cotización por meses'!F53,IF($P$33="mayo",'Base cotización por meses'!G53,IF($P$33="junio",'Base cotización por meses'!H53,IF($P$33="julio",'Base cotización por meses'!I53,IF($P$33="agosto",'Base cotización por meses'!J53,IF($P$33="septiembre",'Base cotización por meses'!K53,IF($P$33="octubre",'Base cotización por meses'!L53,IF($P$33="noviembre",'Base cotización por meses'!M53,IF($P$33="diciembre",'Base cotización por meses'!N53,IF($P$33="media",'Base cotización por meses'!H8)))))))))))))*$P$51</f>
        <v>10.135865384615386</v>
      </c>
      <c r="J8" s="62">
        <f ca="1">IF($P$33="enero",'Base cotización por meses'!C53,IF($P$33="febrero",'Base cotización por meses'!D53,IF($P$33="marzo",'Base cotización por meses'!E53,IF($P$33="abril",'Base cotización por meses'!F53,IF($P$33="mayo",'Base cotización por meses'!G53,IF($P$33="junio",'Base cotización por meses'!H53,IF($P$33="julio",'Base cotización por meses'!I53,IF($P$33="agosto",'Base cotización por meses'!J53,IF($P$33="septiembre",'Base cotización por meses'!K53,IF($P$33="octubre",'Base cotización por meses'!L53,IF($P$33="noviembre",'Base cotización por meses'!M53,IF($P$33="diciembre",'Base cotización por meses'!N53,IF($P$33="media",'Base cotización por meses'!H8)))))))))))))*$P$39</f>
        <v>48.652153846153851</v>
      </c>
      <c r="K8" s="62">
        <f ca="1">IF($P$33="enero",'Base cotización por meses'!C53,IF($P$33="febrero",'Base cotización por meses'!D53,IF($P$33="marzo",'Base cotización por meses'!E53,IF($P$33="abril",'Base cotización por meses'!F53,IF($P$33="mayo",'Base cotización por meses'!G53,IF($P$33="junio",'Base cotización por meses'!H53,IF($P$33="julio",'Base cotización por meses'!I53,IF($P$33="agosto",'Base cotización por meses'!J53,IF($P$33="septiembre",'Base cotización por meses'!K53,IF($P$33="octubre",'Base cotización por meses'!L53,IF($P$33="noviembre",'Base cotización por meses'!M53,IF($P$33="diciembre",'Base cotización por meses'!N53,IF($P$33="media",'Base cotización por meses'!H8)))))))))))))*$P$42</f>
        <v>74.329679487179504</v>
      </c>
      <c r="L8" s="62">
        <f ca="1">IF($P$33="enero",'Base cotización por meses'!C53,IF($P$33="febrero",'Base cotización por meses'!D53,IF($P$33="marzo",'Base cotización por meses'!E53,IF($P$33="abril",'Base cotización por meses'!F53,IF($P$33="mayo",'Base cotización por meses'!G53,IF($P$33="junio",'Base cotización por meses'!H53,IF($P$33="julio",'Base cotización por meses'!I53,IF($P$33="agosto",'Base cotización por meses'!J53,IF($P$33="septiembre",'Base cotización por meses'!K53,IF($P$33="octubre",'Base cotización por meses'!L53,IF($P$33="noviembre",'Base cotización por meses'!M53,IF($P$33="diciembre",'Base cotización por meses'!N53,IF($P$33="media",'Base cotización por meses'!H8)))))))))))))*$P$45</f>
        <v>8.1086923076923103</v>
      </c>
      <c r="M8" s="62">
        <f ca="1">IF($P$33="enero",'Base cotización por meses'!C53,IF($P$33="febrero",'Base cotización por meses'!D53,IF($P$33="marzo",'Base cotización por meses'!E53,IF($P$33="abril",'Base cotización por meses'!F53,IF($P$33="mayo",'Base cotización por meses'!G53,IF($P$33="junio",'Base cotización por meses'!H53,IF($P$33="julio",'Base cotización por meses'!I53,IF($P$33="agosto",'Base cotización por meses'!J53,IF($P$33="septiembre",'Base cotización por meses'!K53,IF($P$33="octubre",'Base cotización por meses'!L53,IF($P$33="noviembre",'Base cotización por meses'!M53,IF($P$33="diciembre",'Base cotización por meses'!N53,IF($P$33="media",'Base cotización por meses'!H8)))))))))))))*$P$48</f>
        <v>2.7028974358974365</v>
      </c>
      <c r="N8" s="50">
        <f t="shared" ca="1" si="2"/>
        <v>1814.3199038461541</v>
      </c>
      <c r="O8" s="2"/>
      <c r="P8" s="47">
        <v>37040</v>
      </c>
      <c r="Q8" s="65">
        <f ca="1">INT(YEARFRAC(P8,TODAY())/3)</f>
        <v>8</v>
      </c>
      <c r="R8" s="2"/>
    </row>
    <row r="9" spans="2:20">
      <c r="B9" s="3">
        <v>36</v>
      </c>
      <c r="C9" s="9">
        <f t="shared" si="3"/>
        <v>819.12</v>
      </c>
      <c r="D9" s="9">
        <f t="shared" si="4"/>
        <v>78.166153846153861</v>
      </c>
      <c r="E9" s="9">
        <f t="shared" ca="1" si="5"/>
        <v>120.22153846153847</v>
      </c>
      <c r="F9" s="9">
        <f t="shared" ca="1" si="0"/>
        <v>62.580000000000155</v>
      </c>
      <c r="G9" s="9">
        <f t="shared" ca="1" si="1"/>
        <v>234.83538461538461</v>
      </c>
      <c r="H9" s="62">
        <f ca="1">IF($P$33="enero",'Base cotización por meses'!C54,IF($P$33="febrero",'Base cotización por meses'!D54,IF($P$33="marzo",'Base cotización por meses'!E54,IF($P$33="abril",'Base cotización por meses'!F54,IF($P$33="mayo",'Base cotización por meses'!G54,IF($P$33="junio",'Base cotización por meses'!H54,IF($P$33="julio",'Base cotización por meses'!I54,IF($P$33="agosto",'Base cotización por meses'!J54,IF($P$33="septiembre",'Base cotización por meses'!K54,IF($P$33="octubre",'Base cotización por meses'!L54,IF($P$33="noviembre",'Base cotización por meses'!M54,IF($P$33="diciembre",'Base cotización por meses'!N54,IF($P$33="media",'Base cotización por meses'!H9)))))))))))))*$P$36</f>
        <v>310.3218461538462</v>
      </c>
      <c r="I9" s="62">
        <f ca="1">IF($P$33="enero",'Base cotización por meses'!C54,IF($P$33="febrero",'Base cotización por meses'!D54,IF($P$33="marzo",'Base cotización por meses'!E54,IF($P$33="abril",'Base cotización por meses'!F54,IF($P$33="mayo",'Base cotización por meses'!G54,IF($P$33="junio",'Base cotización por meses'!H54,IF($P$33="julio",'Base cotización por meses'!I54,IF($P$33="agosto",'Base cotización por meses'!J54,IF($P$33="septiembre",'Base cotización por meses'!K54,IF($P$33="octubre",'Base cotización por meses'!L54,IF($P$33="noviembre",'Base cotización por meses'!M54,IF($P$33="diciembre",'Base cotización por meses'!N54,IF($P$33="media",'Base cotización por meses'!H9)))))))))))))*$P$51</f>
        <v>9.8619230769230786</v>
      </c>
      <c r="J9" s="62">
        <f ca="1">IF($P$33="enero",'Base cotización por meses'!C54,IF($P$33="febrero",'Base cotización por meses'!D54,IF($P$33="marzo",'Base cotización por meses'!E54,IF($P$33="abril",'Base cotización por meses'!F54,IF($P$33="mayo",'Base cotización por meses'!G54,IF($P$33="junio",'Base cotización por meses'!H54,IF($P$33="julio",'Base cotización por meses'!I54,IF($P$33="agosto",'Base cotización por meses'!J54,IF($P$33="septiembre",'Base cotización por meses'!K54,IF($P$33="octubre",'Base cotización por meses'!L54,IF($P$33="noviembre",'Base cotización por meses'!M54,IF($P$33="diciembre",'Base cotización por meses'!N54,IF($P$33="media",'Base cotización por meses'!H9)))))))))))))*$P$39</f>
        <v>47.337230769230771</v>
      </c>
      <c r="K9" s="62">
        <f ca="1">IF($P$33="enero",'Base cotización por meses'!C54,IF($P$33="febrero",'Base cotización por meses'!D54,IF($P$33="marzo",'Base cotización por meses'!E54,IF($P$33="abril",'Base cotización por meses'!F54,IF($P$33="mayo",'Base cotización por meses'!G54,IF($P$33="junio",'Base cotización por meses'!H54,IF($P$33="julio",'Base cotización por meses'!I54,IF($P$33="agosto",'Base cotización por meses'!J54,IF($P$33="septiembre",'Base cotización por meses'!K54,IF($P$33="octubre",'Base cotización por meses'!L54,IF($P$33="noviembre",'Base cotización por meses'!M54,IF($P$33="diciembre",'Base cotización por meses'!N54,IF($P$33="media",'Base cotización por meses'!H9)))))))))))))*$P$42</f>
        <v>72.320769230769244</v>
      </c>
      <c r="L9" s="62">
        <f ca="1">IF($P$33="enero",'Base cotización por meses'!C54,IF($P$33="febrero",'Base cotización por meses'!D54,IF($P$33="marzo",'Base cotización por meses'!E54,IF($P$33="abril",'Base cotización por meses'!F54,IF($P$33="mayo",'Base cotización por meses'!G54,IF($P$33="junio",'Base cotización por meses'!H54,IF($P$33="julio",'Base cotización por meses'!I54,IF($P$33="agosto",'Base cotización por meses'!J54,IF($P$33="septiembre",'Base cotización por meses'!K54,IF($P$33="octubre",'Base cotización por meses'!L54,IF($P$33="noviembre",'Base cotización por meses'!M54,IF($P$33="diciembre",'Base cotización por meses'!N54,IF($P$33="media",'Base cotización por meses'!H9)))))))))))))*$P$45</f>
        <v>7.8895384615384634</v>
      </c>
      <c r="M9" s="62">
        <f ca="1">IF($P$33="enero",'Base cotización por meses'!C54,IF($P$33="febrero",'Base cotización por meses'!D54,IF($P$33="marzo",'Base cotización por meses'!E54,IF($P$33="abril",'Base cotización por meses'!F54,IF($P$33="mayo",'Base cotización por meses'!G54,IF($P$33="junio",'Base cotización por meses'!H54,IF($P$33="julio",'Base cotización por meses'!I54,IF($P$33="agosto",'Base cotización por meses'!J54,IF($P$33="septiembre",'Base cotización por meses'!K54,IF($P$33="octubre",'Base cotización por meses'!L54,IF($P$33="noviembre",'Base cotización por meses'!M54,IF($P$33="diciembre",'Base cotización por meses'!N54,IF($P$33="media",'Base cotización por meses'!H9)))))))))))))*$P$48</f>
        <v>2.6298461538461542</v>
      </c>
      <c r="N9" s="50">
        <f t="shared" ca="1" si="2"/>
        <v>1765.284230769231</v>
      </c>
      <c r="O9" s="2"/>
      <c r="P9" s="2"/>
      <c r="Q9" s="2"/>
      <c r="R9" s="2"/>
    </row>
    <row r="10" spans="2:20" ht="16" customHeight="1" thickBot="1">
      <c r="B10" s="3">
        <v>35</v>
      </c>
      <c r="C10" s="9">
        <f t="shared" si="3"/>
        <v>796.36666666666667</v>
      </c>
      <c r="D10" s="9">
        <f t="shared" si="4"/>
        <v>75.994871794871813</v>
      </c>
      <c r="E10" s="9">
        <f t="shared" ca="1" si="5"/>
        <v>116.88205128205129</v>
      </c>
      <c r="F10" s="9">
        <f t="shared" ca="1" si="0"/>
        <v>60.841666666666924</v>
      </c>
      <c r="G10" s="9">
        <f t="shared" ca="1" si="1"/>
        <v>228.31217948717946</v>
      </c>
      <c r="H10" s="62">
        <f ca="1">IF($P$33="enero",'Base cotización por meses'!C55,IF($P$33="febrero",'Base cotización por meses'!D55,IF($P$33="marzo",'Base cotización por meses'!E55,IF($P$33="abril",'Base cotización por meses'!F55,IF($P$33="mayo",'Base cotización por meses'!G55,IF($P$33="junio",'Base cotización por meses'!H55,IF($P$33="julio",'Base cotización por meses'!I55,IF($P$33="agosto",'Base cotización por meses'!J55,IF($P$33="septiembre",'Base cotización por meses'!K55,IF($P$33="octubre",'Base cotización por meses'!L55,IF($P$33="noviembre",'Base cotización por meses'!M55,IF($P$33="diciembre",'Base cotización por meses'!N55,IF($P$33="media",'Base cotización por meses'!H10)))))))))))))*$P$36</f>
        <v>301.7017948717949</v>
      </c>
      <c r="I10" s="62">
        <f ca="1">IF($P$33="enero",'Base cotización por meses'!C55,IF($P$33="febrero",'Base cotización por meses'!D55,IF($P$33="marzo",'Base cotización por meses'!E55,IF($P$33="abril",'Base cotización por meses'!F55,IF($P$33="mayo",'Base cotización por meses'!G55,IF($P$33="junio",'Base cotización por meses'!H55,IF($P$33="julio",'Base cotización por meses'!I55,IF($P$33="agosto",'Base cotización por meses'!J55,IF($P$33="septiembre",'Base cotización por meses'!K55,IF($P$33="octubre",'Base cotización por meses'!L55,IF($P$33="noviembre",'Base cotización por meses'!M55,IF($P$33="diciembre",'Base cotización por meses'!N55,IF($P$33="media",'Base cotización por meses'!H10)))))))))))))*$P$51</f>
        <v>9.5879807692307697</v>
      </c>
      <c r="J10" s="62">
        <f ca="1">IF($P$33="enero",'Base cotización por meses'!C55,IF($P$33="febrero",'Base cotización por meses'!D55,IF($P$33="marzo",'Base cotización por meses'!E55,IF($P$33="abril",'Base cotización por meses'!F55,IF($P$33="mayo",'Base cotización por meses'!G55,IF($P$33="junio",'Base cotización por meses'!H55,IF($P$33="julio",'Base cotización por meses'!I55,IF($P$33="agosto",'Base cotización por meses'!J55,IF($P$33="septiembre",'Base cotización por meses'!K55,IF($P$33="octubre",'Base cotización por meses'!L55,IF($P$33="noviembre",'Base cotización por meses'!M55,IF($P$33="diciembre",'Base cotización por meses'!N55,IF($P$33="media",'Base cotización por meses'!H10)))))))))))))*$P$39</f>
        <v>46.022307692307692</v>
      </c>
      <c r="K10" s="62">
        <f ca="1">IF($P$33="enero",'Base cotización por meses'!C55,IF($P$33="febrero",'Base cotización por meses'!D55,IF($P$33="marzo",'Base cotización por meses'!E55,IF($P$33="abril",'Base cotización por meses'!F55,IF($P$33="mayo",'Base cotización por meses'!G55,IF($P$33="junio",'Base cotización por meses'!H55,IF($P$33="julio",'Base cotización por meses'!I55,IF($P$33="agosto",'Base cotización por meses'!J55,IF($P$33="septiembre",'Base cotización por meses'!K55,IF($P$33="octubre",'Base cotización por meses'!L55,IF($P$33="noviembre",'Base cotización por meses'!M55,IF($P$33="diciembre",'Base cotización por meses'!N55,IF($P$33="media",'Base cotización por meses'!H10)))))))))))))*$P$42</f>
        <v>70.311858974358984</v>
      </c>
      <c r="L10" s="62">
        <f ca="1">IF($P$33="enero",'Base cotización por meses'!C55,IF($P$33="febrero",'Base cotización por meses'!D55,IF($P$33="marzo",'Base cotización por meses'!E55,IF($P$33="abril",'Base cotización por meses'!F55,IF($P$33="mayo",'Base cotización por meses'!G55,IF($P$33="junio",'Base cotización por meses'!H55,IF($P$33="julio",'Base cotización por meses'!I55,IF($P$33="agosto",'Base cotización por meses'!J55,IF($P$33="septiembre",'Base cotización por meses'!K55,IF($P$33="octubre",'Base cotización por meses'!L55,IF($P$33="noviembre",'Base cotización por meses'!M55,IF($P$33="diciembre",'Base cotización por meses'!N55,IF($P$33="media",'Base cotización por meses'!H10)))))))))))))*$P$45</f>
        <v>7.6703846153846165</v>
      </c>
      <c r="M10" s="62">
        <f ca="1">IF($P$33="enero",'Base cotización por meses'!C55,IF($P$33="febrero",'Base cotización por meses'!D55,IF($P$33="marzo",'Base cotización por meses'!E55,IF($P$33="abril",'Base cotización por meses'!F55,IF($P$33="mayo",'Base cotización por meses'!G55,IF($P$33="junio",'Base cotización por meses'!H55,IF($P$33="julio",'Base cotización por meses'!I55,IF($P$33="agosto",'Base cotización por meses'!J55,IF($P$33="septiembre",'Base cotización por meses'!K55,IF($P$33="octubre",'Base cotización por meses'!L55,IF($P$33="noviembre",'Base cotización por meses'!M55,IF($P$33="diciembre",'Base cotización por meses'!N55,IF($P$33="media",'Base cotización por meses'!H10)))))))))))))*$P$48</f>
        <v>2.5567948717948723</v>
      </c>
      <c r="N10" s="50">
        <f t="shared" ca="1" si="2"/>
        <v>1716.2485576923079</v>
      </c>
      <c r="O10" s="2"/>
      <c r="P10" s="2"/>
      <c r="Q10" s="2"/>
      <c r="R10" s="2"/>
    </row>
    <row r="11" spans="2:20" ht="16" customHeight="1" thickBot="1">
      <c r="B11" s="3">
        <v>34</v>
      </c>
      <c r="C11" s="9">
        <f t="shared" si="3"/>
        <v>773.61333333333334</v>
      </c>
      <c r="D11" s="9">
        <f t="shared" si="4"/>
        <v>73.823589743589764</v>
      </c>
      <c r="E11" s="9">
        <f t="shared" ca="1" si="5"/>
        <v>113.54256410256411</v>
      </c>
      <c r="F11" s="9">
        <f t="shared" ca="1" si="0"/>
        <v>59.103333333333239</v>
      </c>
      <c r="G11" s="9">
        <f t="shared" ca="1" si="1"/>
        <v>221.78897435897434</v>
      </c>
      <c r="H11" s="62">
        <f ca="1">IF($P$33="enero",'Base cotización por meses'!C56,IF($P$33="febrero",'Base cotización por meses'!D56,IF($P$33="marzo",'Base cotización por meses'!E56,IF($P$33="abril",'Base cotización por meses'!F56,IF($P$33="mayo",'Base cotización por meses'!G56,IF($P$33="junio",'Base cotización por meses'!H56,IF($P$33="julio",'Base cotización por meses'!I56,IF($P$33="agosto",'Base cotización por meses'!J56,IF($P$33="septiembre",'Base cotización por meses'!K56,IF($P$33="octubre",'Base cotización por meses'!L56,IF($P$33="noviembre",'Base cotización por meses'!M56,IF($P$33="diciembre",'Base cotización por meses'!N56,IF($P$33="media",'Base cotización por meses'!H11)))))))))))))*$P$36</f>
        <v>293.08174358974361</v>
      </c>
      <c r="I11" s="62">
        <f ca="1">IF($P$33="enero",'Base cotización por meses'!C56,IF($P$33="febrero",'Base cotización por meses'!D56,IF($P$33="marzo",'Base cotización por meses'!E56,IF($P$33="abril",'Base cotización por meses'!F56,IF($P$33="mayo",'Base cotización por meses'!G56,IF($P$33="junio",'Base cotización por meses'!H56,IF($P$33="julio",'Base cotización por meses'!I56,IF($P$33="agosto",'Base cotización por meses'!J56,IF($P$33="septiembre",'Base cotización por meses'!K56,IF($P$33="octubre",'Base cotización por meses'!L56,IF($P$33="noviembre",'Base cotización por meses'!M56,IF($P$33="diciembre",'Base cotización por meses'!N56,IF($P$33="media",'Base cotización por meses'!H11)))))))))))))*$P$51</f>
        <v>9.3140384615384608</v>
      </c>
      <c r="J11" s="62">
        <f ca="1">IF($P$33="enero",'Base cotización por meses'!C56,IF($P$33="febrero",'Base cotización por meses'!D56,IF($P$33="marzo",'Base cotización por meses'!E56,IF($P$33="abril",'Base cotización por meses'!F56,IF($P$33="mayo",'Base cotización por meses'!G56,IF($P$33="junio",'Base cotización por meses'!H56,IF($P$33="julio",'Base cotización por meses'!I56,IF($P$33="agosto",'Base cotización por meses'!J56,IF($P$33="septiembre",'Base cotización por meses'!K56,IF($P$33="octubre",'Base cotización por meses'!L56,IF($P$33="noviembre",'Base cotización por meses'!M56,IF($P$33="diciembre",'Base cotización por meses'!N56,IF($P$33="media",'Base cotización por meses'!H11)))))))))))))*$P$39</f>
        <v>44.707384615384612</v>
      </c>
      <c r="K11" s="62">
        <f ca="1">IF($P$33="enero",'Base cotización por meses'!C56,IF($P$33="febrero",'Base cotización por meses'!D56,IF($P$33="marzo",'Base cotización por meses'!E56,IF($P$33="abril",'Base cotización por meses'!F56,IF($P$33="mayo",'Base cotización por meses'!G56,IF($P$33="junio",'Base cotización por meses'!H56,IF($P$33="julio",'Base cotización por meses'!I56,IF($P$33="agosto",'Base cotización por meses'!J56,IF($P$33="septiembre",'Base cotización por meses'!K56,IF($P$33="octubre",'Base cotización por meses'!L56,IF($P$33="noviembre",'Base cotización por meses'!M56,IF($P$33="diciembre",'Base cotización por meses'!N56,IF($P$33="media",'Base cotización por meses'!H11)))))))))))))*$P$42</f>
        <v>68.302948717948723</v>
      </c>
      <c r="L11" s="62">
        <f ca="1">IF($P$33="enero",'Base cotización por meses'!C56,IF($P$33="febrero",'Base cotización por meses'!D56,IF($P$33="marzo",'Base cotización por meses'!E56,IF($P$33="abril",'Base cotización por meses'!F56,IF($P$33="mayo",'Base cotización por meses'!G56,IF($P$33="junio",'Base cotización por meses'!H56,IF($P$33="julio",'Base cotización por meses'!I56,IF($P$33="agosto",'Base cotización por meses'!J56,IF($P$33="septiembre",'Base cotización por meses'!K56,IF($P$33="octubre",'Base cotización por meses'!L56,IF($P$33="noviembre",'Base cotización por meses'!M56,IF($P$33="diciembre",'Base cotización por meses'!N56,IF($P$33="media",'Base cotización por meses'!H11)))))))))))))*$P$45</f>
        <v>7.4512307692307695</v>
      </c>
      <c r="M11" s="62">
        <f ca="1">IF($P$33="enero",'Base cotización por meses'!C56,IF($P$33="febrero",'Base cotización por meses'!D56,IF($P$33="marzo",'Base cotización por meses'!E56,IF($P$33="abril",'Base cotización por meses'!F56,IF($P$33="mayo",'Base cotización por meses'!G56,IF($P$33="junio",'Base cotización por meses'!H56,IF($P$33="julio",'Base cotización por meses'!I56,IF($P$33="agosto",'Base cotización por meses'!J56,IF($P$33="septiembre",'Base cotización por meses'!K56,IF($P$33="octubre",'Base cotización por meses'!L56,IF($P$33="noviembre",'Base cotización por meses'!M56,IF($P$33="diciembre",'Base cotización por meses'!N56,IF($P$33="media",'Base cotización por meses'!H11)))))))))))))*$P$48</f>
        <v>2.48374358974359</v>
      </c>
      <c r="N11" s="50">
        <f t="shared" ca="1" si="2"/>
        <v>1667.2128846153848</v>
      </c>
      <c r="O11" s="2"/>
      <c r="P11" s="190" t="s">
        <v>53</v>
      </c>
      <c r="Q11" s="165"/>
      <c r="R11" s="165"/>
      <c r="S11" s="185"/>
    </row>
    <row r="12" spans="2:20">
      <c r="B12" s="3">
        <v>33</v>
      </c>
      <c r="C12" s="9">
        <f t="shared" si="3"/>
        <v>750.86</v>
      </c>
      <c r="D12" s="9">
        <f t="shared" si="4"/>
        <v>71.652307692307716</v>
      </c>
      <c r="E12" s="9">
        <f t="shared" ca="1" si="5"/>
        <v>110.20307692307694</v>
      </c>
      <c r="F12" s="9">
        <f t="shared" ca="1" si="0"/>
        <v>57.365000000000009</v>
      </c>
      <c r="G12" s="9">
        <f t="shared" ca="1" si="1"/>
        <v>215.26576923076925</v>
      </c>
      <c r="H12" s="62">
        <f ca="1">IF($P$33="enero",'Base cotización por meses'!C57,IF($P$33="febrero",'Base cotización por meses'!D57,IF($P$33="marzo",'Base cotización por meses'!E57,IF($P$33="abril",'Base cotización por meses'!F57,IF($P$33="mayo",'Base cotización por meses'!G57,IF($P$33="junio",'Base cotización por meses'!H57,IF($P$33="julio",'Base cotización por meses'!I57,IF($P$33="agosto",'Base cotización por meses'!J57,IF($P$33="septiembre",'Base cotización por meses'!K57,IF($P$33="octubre",'Base cotización por meses'!L57,IF($P$33="noviembre",'Base cotización por meses'!M57,IF($P$33="diciembre",'Base cotización por meses'!N57,IF($P$33="media",'Base cotización por meses'!H12)))))))))))))*$P$36</f>
        <v>284.46169230769226</v>
      </c>
      <c r="I12" s="62">
        <f ca="1">IF($P$33="enero",'Base cotización por meses'!C57,IF($P$33="febrero",'Base cotización por meses'!D57,IF($P$33="marzo",'Base cotización por meses'!E57,IF($P$33="abril",'Base cotización por meses'!F57,IF($P$33="mayo",'Base cotización por meses'!G57,IF($P$33="junio",'Base cotización por meses'!H57,IF($P$33="julio",'Base cotización por meses'!I57,IF($P$33="agosto",'Base cotización por meses'!J57,IF($P$33="septiembre",'Base cotización por meses'!K57,IF($P$33="octubre",'Base cotización por meses'!L57,IF($P$33="noviembre",'Base cotización por meses'!M57,IF($P$33="diciembre",'Base cotización por meses'!N57,IF($P$33="media",'Base cotización por meses'!H12)))))))))))))*$P$51</f>
        <v>9.0400961538461537</v>
      </c>
      <c r="J12" s="62">
        <f ca="1">IF($P$33="enero",'Base cotización por meses'!C57,IF($P$33="febrero",'Base cotización por meses'!D57,IF($P$33="marzo",'Base cotización por meses'!E57,IF($P$33="abril",'Base cotización por meses'!F57,IF($P$33="mayo",'Base cotización por meses'!G57,IF($P$33="junio",'Base cotización por meses'!H57,IF($P$33="julio",'Base cotización por meses'!I57,IF($P$33="agosto",'Base cotización por meses'!J57,IF($P$33="septiembre",'Base cotización por meses'!K57,IF($P$33="octubre",'Base cotización por meses'!L57,IF($P$33="noviembre",'Base cotización por meses'!M57,IF($P$33="diciembre",'Base cotización por meses'!N57,IF($P$33="media",'Base cotización por meses'!H12)))))))))))))*$P$39</f>
        <v>43.392461538461532</v>
      </c>
      <c r="K12" s="62">
        <f ca="1">IF($P$33="enero",'Base cotización por meses'!C57,IF($P$33="febrero",'Base cotización por meses'!D57,IF($P$33="marzo",'Base cotización por meses'!E57,IF($P$33="abril",'Base cotización por meses'!F57,IF($P$33="mayo",'Base cotización por meses'!G57,IF($P$33="junio",'Base cotización por meses'!H57,IF($P$33="julio",'Base cotización por meses'!I57,IF($P$33="agosto",'Base cotización por meses'!J57,IF($P$33="septiembre",'Base cotización por meses'!K57,IF($P$33="octubre",'Base cotización por meses'!L57,IF($P$33="noviembre",'Base cotización por meses'!M57,IF($P$33="diciembre",'Base cotización por meses'!N57,IF($P$33="media",'Base cotización por meses'!H12)))))))))))))*$P$42</f>
        <v>66.294038461538463</v>
      </c>
      <c r="L12" s="62">
        <f ca="1">IF($P$33="enero",'Base cotización por meses'!C57,IF($P$33="febrero",'Base cotización por meses'!D57,IF($P$33="marzo",'Base cotización por meses'!E57,IF($P$33="abril",'Base cotización por meses'!F57,IF($P$33="mayo",'Base cotización por meses'!G57,IF($P$33="junio",'Base cotización por meses'!H57,IF($P$33="julio",'Base cotización por meses'!I57,IF($P$33="agosto",'Base cotización por meses'!J57,IF($P$33="septiembre",'Base cotización por meses'!K57,IF($P$33="octubre",'Base cotización por meses'!L57,IF($P$33="noviembre",'Base cotización por meses'!M57,IF($P$33="diciembre",'Base cotización por meses'!N57,IF($P$33="media",'Base cotización por meses'!H12)))))))))))))*$P$45</f>
        <v>7.2320769230769226</v>
      </c>
      <c r="M12" s="62">
        <f ca="1">IF($P$33="enero",'Base cotización por meses'!C57,IF($P$33="febrero",'Base cotización por meses'!D57,IF($P$33="marzo",'Base cotización por meses'!E57,IF($P$33="abril",'Base cotización por meses'!F57,IF($P$33="mayo",'Base cotización por meses'!G57,IF($P$33="junio",'Base cotización por meses'!H57,IF($P$33="julio",'Base cotización por meses'!I57,IF($P$33="agosto",'Base cotización por meses'!J57,IF($P$33="septiembre",'Base cotización por meses'!K57,IF($P$33="octubre",'Base cotización por meses'!L57,IF($P$33="noviembre",'Base cotización por meses'!M57,IF($P$33="diciembre",'Base cotización por meses'!N57,IF($P$33="media",'Base cotización por meses'!H12)))))))))))))*$P$48</f>
        <v>2.4106923076923077</v>
      </c>
      <c r="N12" s="50">
        <f t="shared" ca="1" si="2"/>
        <v>1618.1772115384615</v>
      </c>
      <c r="P12" s="193">
        <v>1424.5</v>
      </c>
      <c r="Q12" s="194"/>
      <c r="R12" s="194"/>
      <c r="S12" s="195"/>
      <c r="T12" s="89"/>
    </row>
    <row r="13" spans="2:20" ht="16" customHeight="1" thickBot="1">
      <c r="B13" s="3">
        <v>32</v>
      </c>
      <c r="C13" s="9">
        <f t="shared" si="3"/>
        <v>728.10666666666668</v>
      </c>
      <c r="D13" s="9">
        <f t="shared" si="4"/>
        <v>69.481025641025667</v>
      </c>
      <c r="E13" s="9">
        <f t="shared" ca="1" si="5"/>
        <v>106.86358974358976</v>
      </c>
      <c r="F13" s="9">
        <f t="shared" ca="1" si="0"/>
        <v>55.626666666666779</v>
      </c>
      <c r="G13" s="9">
        <f t="shared" ca="1" si="1"/>
        <v>208.7425641025641</v>
      </c>
      <c r="H13" s="62">
        <f ca="1">IF($P$33="enero",'Base cotización por meses'!C58,IF($P$33="febrero",'Base cotización por meses'!D58,IF($P$33="marzo",'Base cotización por meses'!E58,IF($P$33="abril",'Base cotización por meses'!F58,IF($P$33="mayo",'Base cotización por meses'!G58,IF($P$33="junio",'Base cotización por meses'!H58,IF($P$33="julio",'Base cotización por meses'!I58,IF($P$33="agosto",'Base cotización por meses'!J58,IF($P$33="septiembre",'Base cotización por meses'!K58,IF($P$33="octubre",'Base cotización por meses'!L58,IF($P$33="noviembre",'Base cotización por meses'!M58,IF($P$33="diciembre",'Base cotización por meses'!N58,IF($P$33="media",'Base cotización por meses'!H13)))))))))))))*$P$36</f>
        <v>275.84164102564102</v>
      </c>
      <c r="I13" s="62">
        <f ca="1">IF($P$33="enero",'Base cotización por meses'!C58,IF($P$33="febrero",'Base cotización por meses'!D58,IF($P$33="marzo",'Base cotización por meses'!E58,IF($P$33="abril",'Base cotización por meses'!F58,IF($P$33="mayo",'Base cotización por meses'!G58,IF($P$33="junio",'Base cotización por meses'!H58,IF($P$33="julio",'Base cotización por meses'!I58,IF($P$33="agosto",'Base cotización por meses'!J58,IF($P$33="septiembre",'Base cotización por meses'!K58,IF($P$33="octubre",'Base cotización por meses'!L58,IF($P$33="noviembre",'Base cotización por meses'!M58,IF($P$33="diciembre",'Base cotización por meses'!N58,IF($P$33="media",'Base cotización por meses'!H13)))))))))))))*$P$51</f>
        <v>8.7661538461538466</v>
      </c>
      <c r="J13" s="62">
        <f ca="1">IF($P$33="enero",'Base cotización por meses'!C58,IF($P$33="febrero",'Base cotización por meses'!D58,IF($P$33="marzo",'Base cotización por meses'!E58,IF($P$33="abril",'Base cotización por meses'!F58,IF($P$33="mayo",'Base cotización por meses'!G58,IF($P$33="junio",'Base cotización por meses'!H58,IF($P$33="julio",'Base cotización por meses'!I58,IF($P$33="agosto",'Base cotización por meses'!J58,IF($P$33="septiembre",'Base cotización por meses'!K58,IF($P$33="octubre",'Base cotización por meses'!L58,IF($P$33="noviembre",'Base cotización por meses'!M58,IF($P$33="diciembre",'Base cotización por meses'!N58,IF($P$33="media",'Base cotización por meses'!H13)))))))))))))*$P$39</f>
        <v>42.07753846153846</v>
      </c>
      <c r="K13" s="62">
        <f ca="1">IF($P$33="enero",'Base cotización por meses'!C58,IF($P$33="febrero",'Base cotización por meses'!D58,IF($P$33="marzo",'Base cotización por meses'!E58,IF($P$33="abril",'Base cotización por meses'!F58,IF($P$33="mayo",'Base cotización por meses'!G58,IF($P$33="junio",'Base cotización por meses'!H58,IF($P$33="julio",'Base cotización por meses'!I58,IF($P$33="agosto",'Base cotización por meses'!J58,IF($P$33="septiembre",'Base cotización por meses'!K58,IF($P$33="octubre",'Base cotización por meses'!L58,IF($P$33="noviembre",'Base cotización por meses'!M58,IF($P$33="diciembre",'Base cotización por meses'!N58,IF($P$33="media",'Base cotización por meses'!H13)))))))))))))*$P$42</f>
        <v>64.285128205128217</v>
      </c>
      <c r="L13" s="62">
        <f ca="1">IF($P$33="enero",'Base cotización por meses'!C58,IF($P$33="febrero",'Base cotización por meses'!D58,IF($P$33="marzo",'Base cotización por meses'!E58,IF($P$33="abril",'Base cotización por meses'!F58,IF($P$33="mayo",'Base cotización por meses'!G58,IF($P$33="junio",'Base cotización por meses'!H58,IF($P$33="julio",'Base cotización por meses'!I58,IF($P$33="agosto",'Base cotización por meses'!J58,IF($P$33="septiembre",'Base cotización por meses'!K58,IF($P$33="octubre",'Base cotización por meses'!L58,IF($P$33="noviembre",'Base cotización por meses'!M58,IF($P$33="diciembre",'Base cotización por meses'!N58,IF($P$33="media",'Base cotización por meses'!H13)))))))))))))*$P$45</f>
        <v>7.0129230769230775</v>
      </c>
      <c r="M13" s="62">
        <f ca="1">IF($P$33="enero",'Base cotización por meses'!C58,IF($P$33="febrero",'Base cotización por meses'!D58,IF($P$33="marzo",'Base cotización por meses'!E58,IF($P$33="abril",'Base cotización por meses'!F58,IF($P$33="mayo",'Base cotización por meses'!G58,IF($P$33="junio",'Base cotización por meses'!H58,IF($P$33="julio",'Base cotización por meses'!I58,IF($P$33="agosto",'Base cotización por meses'!J58,IF($P$33="septiembre",'Base cotización por meses'!K58,IF($P$33="octubre",'Base cotización por meses'!L58,IF($P$33="noviembre",'Base cotización por meses'!M58,IF($P$33="diciembre",'Base cotización por meses'!N58,IF($P$33="media",'Base cotización por meses'!H13)))))))))))))*$P$48</f>
        <v>2.3376410256410258</v>
      </c>
      <c r="N13" s="50">
        <f t="shared" ca="1" si="2"/>
        <v>1569.1415384615389</v>
      </c>
      <c r="O13" s="10"/>
      <c r="P13" s="10"/>
      <c r="Q13" s="10"/>
    </row>
    <row r="14" spans="2:20" ht="16" customHeight="1" thickBot="1">
      <c r="B14" s="3">
        <v>31</v>
      </c>
      <c r="C14" s="9">
        <f t="shared" si="3"/>
        <v>705.35333333333335</v>
      </c>
      <c r="D14" s="9">
        <f t="shared" si="4"/>
        <v>67.309743589743618</v>
      </c>
      <c r="E14" s="9">
        <f t="shared" ca="1" si="5"/>
        <v>103.52410256410258</v>
      </c>
      <c r="F14" s="9">
        <f t="shared" ca="1" si="0"/>
        <v>53.888333333333321</v>
      </c>
      <c r="G14" s="9">
        <f t="shared" ca="1" si="1"/>
        <v>202.21935897435898</v>
      </c>
      <c r="H14" s="62">
        <f ca="1">IF($P$33="enero",'Base cotización por meses'!C59,IF($P$33="febrero",'Base cotización por meses'!D59,IF($P$33="marzo",'Base cotización por meses'!E59,IF($P$33="abril",'Base cotización por meses'!F59,IF($P$33="mayo",'Base cotización por meses'!G59,IF($P$33="junio",'Base cotización por meses'!H59,IF($P$33="julio",'Base cotización por meses'!I59,IF($P$33="agosto",'Base cotización por meses'!J59,IF($P$33="septiembre",'Base cotización por meses'!K59,IF($P$33="octubre",'Base cotización por meses'!L59,IF($P$33="noviembre",'Base cotización por meses'!M59,IF($P$33="diciembre",'Base cotización por meses'!N59,IF($P$33="media",'Base cotización por meses'!H14)))))))))))))*$P$36</f>
        <v>267.22158974358973</v>
      </c>
      <c r="I14" s="62">
        <f ca="1">IF($P$33="enero",'Base cotización por meses'!C59,IF($P$33="febrero",'Base cotización por meses'!D59,IF($P$33="marzo",'Base cotización por meses'!E59,IF($P$33="abril",'Base cotización por meses'!F59,IF($P$33="mayo",'Base cotización por meses'!G59,IF($P$33="junio",'Base cotización por meses'!H59,IF($P$33="julio",'Base cotización por meses'!I59,IF($P$33="agosto",'Base cotización por meses'!J59,IF($P$33="septiembre",'Base cotización por meses'!K59,IF($P$33="octubre",'Base cotización por meses'!L59,IF($P$33="noviembre",'Base cotización por meses'!M59,IF($P$33="diciembre",'Base cotización por meses'!N59,IF($P$33="media",'Base cotización por meses'!H14)))))))))))))*$P$51</f>
        <v>8.4922115384615378</v>
      </c>
      <c r="J14" s="62">
        <f ca="1">IF($P$33="enero",'Base cotización por meses'!C59,IF($P$33="febrero",'Base cotización por meses'!D59,IF($P$33="marzo",'Base cotización por meses'!E59,IF($P$33="abril",'Base cotización por meses'!F59,IF($P$33="mayo",'Base cotización por meses'!G59,IF($P$33="junio",'Base cotización por meses'!H59,IF($P$33="julio",'Base cotización por meses'!I59,IF($P$33="agosto",'Base cotización por meses'!J59,IF($P$33="septiembre",'Base cotización por meses'!K59,IF($P$33="octubre",'Base cotización por meses'!L59,IF($P$33="noviembre",'Base cotización por meses'!M59,IF($P$33="diciembre",'Base cotización por meses'!N59,IF($P$33="media",'Base cotización por meses'!H14)))))))))))))*$P$39</f>
        <v>40.76261538461538</v>
      </c>
      <c r="K14" s="62">
        <f ca="1">IF($P$33="enero",'Base cotización por meses'!C59,IF($P$33="febrero",'Base cotización por meses'!D59,IF($P$33="marzo",'Base cotización por meses'!E59,IF($P$33="abril",'Base cotización por meses'!F59,IF($P$33="mayo",'Base cotización por meses'!G59,IF($P$33="junio",'Base cotización por meses'!H59,IF($P$33="julio",'Base cotización por meses'!I59,IF($P$33="agosto",'Base cotización por meses'!J59,IF($P$33="septiembre",'Base cotización por meses'!K59,IF($P$33="octubre",'Base cotización por meses'!L59,IF($P$33="noviembre",'Base cotización por meses'!M59,IF($P$33="diciembre",'Base cotización por meses'!N59,IF($P$33="media",'Base cotización por meses'!H14)))))))))))))*$P$42</f>
        <v>62.276217948717949</v>
      </c>
      <c r="L14" s="62">
        <f ca="1">IF($P$33="enero",'Base cotización por meses'!C59,IF($P$33="febrero",'Base cotización por meses'!D59,IF($P$33="marzo",'Base cotización por meses'!E59,IF($P$33="abril",'Base cotización por meses'!F59,IF($P$33="mayo",'Base cotización por meses'!G59,IF($P$33="junio",'Base cotización por meses'!H59,IF($P$33="julio",'Base cotización por meses'!I59,IF($P$33="agosto",'Base cotización por meses'!J59,IF($P$33="septiembre",'Base cotización por meses'!K59,IF($P$33="octubre",'Base cotización por meses'!L59,IF($P$33="noviembre",'Base cotización por meses'!M59,IF($P$33="diciembre",'Base cotización por meses'!N59,IF($P$33="media",'Base cotización por meses'!H14)))))))))))))*$P$45</f>
        <v>6.7937692307692314</v>
      </c>
      <c r="M14" s="62">
        <f ca="1">IF($P$33="enero",'Base cotización por meses'!C59,IF($P$33="febrero",'Base cotización por meses'!D59,IF($P$33="marzo",'Base cotización por meses'!E59,IF($P$33="abril",'Base cotización por meses'!F59,IF($P$33="mayo",'Base cotización por meses'!G59,IF($P$33="junio",'Base cotización por meses'!H59,IF($P$33="julio",'Base cotización por meses'!I59,IF($P$33="agosto",'Base cotización por meses'!J59,IF($P$33="septiembre",'Base cotización por meses'!K59,IF($P$33="octubre",'Base cotización por meses'!L59,IF($P$33="noviembre",'Base cotización por meses'!M59,IF($P$33="diciembre",'Base cotización por meses'!N59,IF($P$33="media",'Base cotización por meses'!H14)))))))))))))*$P$48</f>
        <v>2.2645897435897435</v>
      </c>
      <c r="N14" s="50">
        <f t="shared" ca="1" si="2"/>
        <v>1520.1058653846153</v>
      </c>
      <c r="O14" s="10"/>
      <c r="P14" s="64" t="s">
        <v>54</v>
      </c>
      <c r="Q14" s="64" t="s">
        <v>55</v>
      </c>
    </row>
    <row r="15" spans="2:20">
      <c r="B15" s="3">
        <v>30</v>
      </c>
      <c r="C15" s="9">
        <f t="shared" si="3"/>
        <v>682.6</v>
      </c>
      <c r="D15" s="9">
        <f t="shared" si="4"/>
        <v>65.13846153846157</v>
      </c>
      <c r="E15" s="9">
        <f t="shared" ca="1" si="5"/>
        <v>100.1846153846154</v>
      </c>
      <c r="F15" s="9">
        <f t="shared" ca="1" si="0"/>
        <v>52.150000000000091</v>
      </c>
      <c r="G15" s="9">
        <f t="shared" ca="1" si="1"/>
        <v>195.69615384615386</v>
      </c>
      <c r="H15" s="62">
        <f ca="1">IF($P$33="enero",'Base cotización por meses'!C60,IF($P$33="febrero",'Base cotización por meses'!D60,IF($P$33="marzo",'Base cotización por meses'!E60,IF($P$33="abril",'Base cotización por meses'!F60,IF($P$33="mayo",'Base cotización por meses'!G60,IF($P$33="junio",'Base cotización por meses'!H60,IF($P$33="julio",'Base cotización por meses'!I60,IF($P$33="agosto",'Base cotización por meses'!J60,IF($P$33="septiembre",'Base cotización por meses'!K60,IF($P$33="octubre",'Base cotización por meses'!L60,IF($P$33="noviembre",'Base cotización por meses'!M60,IF($P$33="diciembre",'Base cotización por meses'!N60,IF($P$33="media",'Base cotización por meses'!H15)))))))))))))*$P$36</f>
        <v>258.6015384615385</v>
      </c>
      <c r="I15" s="62">
        <f ca="1">IF($P$33="enero",'Base cotización por meses'!C60,IF($P$33="febrero",'Base cotización por meses'!D60,IF($P$33="marzo",'Base cotización por meses'!E60,IF($P$33="abril",'Base cotización por meses'!F60,IF($P$33="mayo",'Base cotización por meses'!G60,IF($P$33="junio",'Base cotización por meses'!H60,IF($P$33="julio",'Base cotización por meses'!I60,IF($P$33="agosto",'Base cotización por meses'!J60,IF($P$33="septiembre",'Base cotización por meses'!K60,IF($P$33="octubre",'Base cotización por meses'!L60,IF($P$33="noviembre",'Base cotización por meses'!M60,IF($P$33="diciembre",'Base cotización por meses'!N60,IF($P$33="media",'Base cotización por meses'!H15)))))))))))))*$P$51</f>
        <v>8.2182692307692324</v>
      </c>
      <c r="J15" s="62">
        <f ca="1">IF($P$33="enero",'Base cotización por meses'!C60,IF($P$33="febrero",'Base cotización por meses'!D60,IF($P$33="marzo",'Base cotización por meses'!E60,IF($P$33="abril",'Base cotización por meses'!F60,IF($P$33="mayo",'Base cotización por meses'!G60,IF($P$33="junio",'Base cotización por meses'!H60,IF($P$33="julio",'Base cotización por meses'!I60,IF($P$33="agosto",'Base cotización por meses'!J60,IF($P$33="septiembre",'Base cotización por meses'!K60,IF($P$33="octubre",'Base cotización por meses'!L60,IF($P$33="noviembre",'Base cotización por meses'!M60,IF($P$33="diciembre",'Base cotización por meses'!N60,IF($P$33="media",'Base cotización por meses'!H15)))))))))))))*$P$39</f>
        <v>39.447692307692314</v>
      </c>
      <c r="K15" s="62">
        <f ca="1">IF($P$33="enero",'Base cotización por meses'!C60,IF($P$33="febrero",'Base cotización por meses'!D60,IF($P$33="marzo",'Base cotización por meses'!E60,IF($P$33="abril",'Base cotización por meses'!F60,IF($P$33="mayo",'Base cotización por meses'!G60,IF($P$33="junio",'Base cotización por meses'!H60,IF($P$33="julio",'Base cotización por meses'!I60,IF($P$33="agosto",'Base cotización por meses'!J60,IF($P$33="septiembre",'Base cotización por meses'!K60,IF($P$33="octubre",'Base cotización por meses'!L60,IF($P$33="noviembre",'Base cotización por meses'!M60,IF($P$33="diciembre",'Base cotización por meses'!N60,IF($P$33="media",'Base cotización por meses'!H15)))))))))))))*$P$42</f>
        <v>60.267307692307703</v>
      </c>
      <c r="L15" s="62">
        <f ca="1">IF($P$33="enero",'Base cotización por meses'!C60,IF($P$33="febrero",'Base cotización por meses'!D60,IF($P$33="marzo",'Base cotización por meses'!E60,IF($P$33="abril",'Base cotización por meses'!F60,IF($P$33="mayo",'Base cotización por meses'!G60,IF($P$33="junio",'Base cotización por meses'!H60,IF($P$33="julio",'Base cotización por meses'!I60,IF($P$33="agosto",'Base cotización por meses'!J60,IF($P$33="septiembre",'Base cotización por meses'!K60,IF($P$33="octubre",'Base cotización por meses'!L60,IF($P$33="noviembre",'Base cotización por meses'!M60,IF($P$33="diciembre",'Base cotización por meses'!N60,IF($P$33="media",'Base cotización por meses'!H15)))))))))))))*$P$45</f>
        <v>6.5746153846153854</v>
      </c>
      <c r="M15" s="62">
        <f ca="1">IF($P$33="enero",'Base cotización por meses'!C60,IF($P$33="febrero",'Base cotización por meses'!D60,IF($P$33="marzo",'Base cotización por meses'!E60,IF($P$33="abril",'Base cotización por meses'!F60,IF($P$33="mayo",'Base cotización por meses'!G60,IF($P$33="junio",'Base cotización por meses'!H60,IF($P$33="julio",'Base cotización por meses'!I60,IF($P$33="agosto",'Base cotización por meses'!J60,IF($P$33="septiembre",'Base cotización por meses'!K60,IF($P$33="octubre",'Base cotización por meses'!L60,IF($P$33="noviembre",'Base cotización por meses'!M60,IF($P$33="diciembre",'Base cotización por meses'!N60,IF($P$33="media",'Base cotización por meses'!H15)))))))))))))*$P$48</f>
        <v>2.1915384615384621</v>
      </c>
      <c r="N15" s="50">
        <f t="shared" ca="1" si="2"/>
        <v>1471.0701923076922</v>
      </c>
      <c r="P15" s="66" t="s">
        <v>56</v>
      </c>
      <c r="Q15" s="67">
        <f ca="1">'Calendario Laboral 2026'!H20</f>
        <v>20</v>
      </c>
    </row>
    <row r="16" spans="2:20">
      <c r="B16" s="3">
        <v>29</v>
      </c>
      <c r="C16" s="9">
        <f t="shared" si="3"/>
        <v>659.84666666666669</v>
      </c>
      <c r="D16" s="9">
        <f t="shared" si="4"/>
        <v>62.967179487179521</v>
      </c>
      <c r="E16" s="9">
        <f t="shared" ca="1" si="5"/>
        <v>96.845128205128219</v>
      </c>
      <c r="F16" s="9">
        <f t="shared" ca="1" si="0"/>
        <v>50.411666666666633</v>
      </c>
      <c r="G16" s="9">
        <f t="shared" ca="1" si="1"/>
        <v>189.17294871794871</v>
      </c>
      <c r="H16" s="62">
        <f ca="1">IF($P$33="enero",'Base cotización por meses'!C61,IF($P$33="febrero",'Base cotización por meses'!D61,IF($P$33="marzo",'Base cotización por meses'!E61,IF($P$33="abril",'Base cotización por meses'!F61,IF($P$33="mayo",'Base cotización por meses'!G61,IF($P$33="junio",'Base cotización por meses'!H61,IF($P$33="julio",'Base cotización por meses'!I61,IF($P$33="agosto",'Base cotización por meses'!J61,IF($P$33="septiembre",'Base cotización por meses'!K61,IF($P$33="octubre",'Base cotización por meses'!L61,IF($P$33="noviembre",'Base cotización por meses'!M61,IF($P$33="diciembre",'Base cotización por meses'!N61,IF($P$33="media",'Base cotización por meses'!H16)))))))))))))*$P$36</f>
        <v>249.98148717948717</v>
      </c>
      <c r="I16" s="62">
        <f ca="1">IF($P$33="enero",'Base cotización por meses'!C61,IF($P$33="febrero",'Base cotización por meses'!D61,IF($P$33="marzo",'Base cotización por meses'!E61,IF($P$33="abril",'Base cotización por meses'!F61,IF($P$33="mayo",'Base cotización por meses'!G61,IF($P$33="junio",'Base cotización por meses'!H61,IF($P$33="julio",'Base cotización por meses'!I61,IF($P$33="agosto",'Base cotización por meses'!J61,IF($P$33="septiembre",'Base cotización por meses'!K61,IF($P$33="octubre",'Base cotización por meses'!L61,IF($P$33="noviembre",'Base cotización por meses'!M61,IF($P$33="diciembre",'Base cotización por meses'!N61,IF($P$33="media",'Base cotización por meses'!H16)))))))))))))*$P$51</f>
        <v>7.9443269230769236</v>
      </c>
      <c r="J16" s="62">
        <f ca="1">IF($P$33="enero",'Base cotización por meses'!C61,IF($P$33="febrero",'Base cotización por meses'!D61,IF($P$33="marzo",'Base cotización por meses'!E61,IF($P$33="abril",'Base cotización por meses'!F61,IF($P$33="mayo",'Base cotización por meses'!G61,IF($P$33="junio",'Base cotización por meses'!H61,IF($P$33="julio",'Base cotización por meses'!I61,IF($P$33="agosto",'Base cotización por meses'!J61,IF($P$33="septiembre",'Base cotización por meses'!K61,IF($P$33="octubre",'Base cotización por meses'!L61,IF($P$33="noviembre",'Base cotización por meses'!M61,IF($P$33="diciembre",'Base cotización por meses'!N61,IF($P$33="media",'Base cotización por meses'!H16)))))))))))))*$P$39</f>
        <v>38.132769230769235</v>
      </c>
      <c r="K16" s="62">
        <f ca="1">IF($P$33="enero",'Base cotización por meses'!C61,IF($P$33="febrero",'Base cotización por meses'!D61,IF($P$33="marzo",'Base cotización por meses'!E61,IF($P$33="abril",'Base cotización por meses'!F61,IF($P$33="mayo",'Base cotización por meses'!G61,IF($P$33="junio",'Base cotización por meses'!H61,IF($P$33="julio",'Base cotización por meses'!I61,IF($P$33="agosto",'Base cotización por meses'!J61,IF($P$33="septiembre",'Base cotización por meses'!K61,IF($P$33="octubre",'Base cotización por meses'!L61,IF($P$33="noviembre",'Base cotización por meses'!M61,IF($P$33="diciembre",'Base cotización por meses'!N61,IF($P$33="media",'Base cotización por meses'!H16)))))))))))))*$P$42</f>
        <v>58.258397435897443</v>
      </c>
      <c r="L16" s="62">
        <f ca="1">IF($P$33="enero",'Base cotización por meses'!C61,IF($P$33="febrero",'Base cotización por meses'!D61,IF($P$33="marzo",'Base cotización por meses'!E61,IF($P$33="abril",'Base cotización por meses'!F61,IF($P$33="mayo",'Base cotización por meses'!G61,IF($P$33="junio",'Base cotización por meses'!H61,IF($P$33="julio",'Base cotización por meses'!I61,IF($P$33="agosto",'Base cotización por meses'!J61,IF($P$33="septiembre",'Base cotización por meses'!K61,IF($P$33="octubre",'Base cotización por meses'!L61,IF($P$33="noviembre",'Base cotización por meses'!M61,IF($P$33="diciembre",'Base cotización por meses'!N61,IF($P$33="media",'Base cotización por meses'!H16)))))))))))))*$P$45</f>
        <v>6.3554615384615394</v>
      </c>
      <c r="M16" s="62">
        <f ca="1">IF($P$33="enero",'Base cotización por meses'!C61,IF($P$33="febrero",'Base cotización por meses'!D61,IF($P$33="marzo",'Base cotización por meses'!E61,IF($P$33="abril",'Base cotización por meses'!F61,IF($P$33="mayo",'Base cotización por meses'!G61,IF($P$33="junio",'Base cotización por meses'!H61,IF($P$33="julio",'Base cotización por meses'!I61,IF($P$33="agosto",'Base cotización por meses'!J61,IF($P$33="septiembre",'Base cotización por meses'!K61,IF($P$33="octubre",'Base cotización por meses'!L61,IF($P$33="noviembre",'Base cotización por meses'!M61,IF($P$33="diciembre",'Base cotización por meses'!N61,IF($P$33="media",'Base cotización por meses'!H16)))))))))))))*$P$48</f>
        <v>2.1184871794871798</v>
      </c>
      <c r="N16" s="50">
        <f t="shared" ca="1" si="2"/>
        <v>1422.0345192307693</v>
      </c>
      <c r="O16" s="10"/>
      <c r="P16" s="68" t="s">
        <v>57</v>
      </c>
      <c r="Q16" s="67">
        <f ca="1">'Calendario Laboral 2026'!P20</f>
        <v>20</v>
      </c>
    </row>
    <row r="17" spans="2:21">
      <c r="B17" s="3">
        <v>28</v>
      </c>
      <c r="C17" s="9">
        <f t="shared" si="3"/>
        <v>637.09333333333336</v>
      </c>
      <c r="D17" s="9">
        <f t="shared" si="4"/>
        <v>60.795897435897473</v>
      </c>
      <c r="E17" s="9">
        <f t="shared" ca="1" si="5"/>
        <v>93.50564102564104</v>
      </c>
      <c r="F17" s="9">
        <f t="shared" ca="1" si="0"/>
        <v>48.673333333333403</v>
      </c>
      <c r="G17" s="9">
        <f t="shared" ca="1" si="1"/>
        <v>182.64974358974359</v>
      </c>
      <c r="H17" s="62">
        <f ca="1">IF($P$33="enero",'Base cotización por meses'!C62,IF($P$33="febrero",'Base cotización por meses'!D62,IF($P$33="marzo",'Base cotización por meses'!E62,IF($P$33="abril",'Base cotización por meses'!F62,IF($P$33="mayo",'Base cotización por meses'!G62,IF($P$33="junio",'Base cotización por meses'!H62,IF($P$33="julio",'Base cotización por meses'!I62,IF($P$33="agosto",'Base cotización por meses'!J62,IF($P$33="septiembre",'Base cotización por meses'!K62,IF($P$33="octubre",'Base cotización por meses'!L62,IF($P$33="noviembre",'Base cotización por meses'!M62,IF($P$33="diciembre",'Base cotización por meses'!N62,IF($P$33="media",'Base cotización por meses'!H17)))))))))))))*$P$36</f>
        <v>241.36143589743591</v>
      </c>
      <c r="I17" s="62">
        <f ca="1">IF($P$33="enero",'Base cotización por meses'!C62,IF($P$33="febrero",'Base cotización por meses'!D62,IF($P$33="marzo",'Base cotización por meses'!E62,IF($P$33="abril",'Base cotización por meses'!F62,IF($P$33="mayo",'Base cotización por meses'!G62,IF($P$33="junio",'Base cotización por meses'!H62,IF($P$33="julio",'Base cotización por meses'!I62,IF($P$33="agosto",'Base cotización por meses'!J62,IF($P$33="septiembre",'Base cotización por meses'!K62,IF($P$33="octubre",'Base cotización por meses'!L62,IF($P$33="noviembre",'Base cotización por meses'!M62,IF($P$33="diciembre",'Base cotización por meses'!N62,IF($P$33="media",'Base cotización por meses'!H17)))))))))))))*$P$51</f>
        <v>7.6703846153846165</v>
      </c>
      <c r="J17" s="62">
        <f ca="1">IF($P$33="enero",'Base cotización por meses'!C62,IF($P$33="febrero",'Base cotización por meses'!D62,IF($P$33="marzo",'Base cotización por meses'!E62,IF($P$33="abril",'Base cotización por meses'!F62,IF($P$33="mayo",'Base cotización por meses'!G62,IF($P$33="junio",'Base cotización por meses'!H62,IF($P$33="julio",'Base cotización por meses'!I62,IF($P$33="agosto",'Base cotización por meses'!J62,IF($P$33="septiembre",'Base cotización por meses'!K62,IF($P$33="octubre",'Base cotización por meses'!L62,IF($P$33="noviembre",'Base cotización por meses'!M62,IF($P$33="diciembre",'Base cotización por meses'!N62,IF($P$33="media",'Base cotización por meses'!H17)))))))))))))*$P$39</f>
        <v>36.817846153846155</v>
      </c>
      <c r="K17" s="62">
        <f ca="1">IF($P$33="enero",'Base cotización por meses'!C62,IF($P$33="febrero",'Base cotización por meses'!D62,IF($P$33="marzo",'Base cotización por meses'!E62,IF($P$33="abril",'Base cotización por meses'!F62,IF($P$33="mayo",'Base cotización por meses'!G62,IF($P$33="junio",'Base cotización por meses'!H62,IF($P$33="julio",'Base cotización por meses'!I62,IF($P$33="agosto",'Base cotización por meses'!J62,IF($P$33="septiembre",'Base cotización por meses'!K62,IF($P$33="octubre",'Base cotización por meses'!L62,IF($P$33="noviembre",'Base cotización por meses'!M62,IF($P$33="diciembre",'Base cotización por meses'!N62,IF($P$33="media",'Base cotización por meses'!H17)))))))))))))*$P$42</f>
        <v>56.24948717948719</v>
      </c>
      <c r="L17" s="62">
        <f ca="1">IF($P$33="enero",'Base cotización por meses'!C62,IF($P$33="febrero",'Base cotización por meses'!D62,IF($P$33="marzo",'Base cotización por meses'!E62,IF($P$33="abril",'Base cotización por meses'!F62,IF($P$33="mayo",'Base cotización por meses'!G62,IF($P$33="junio",'Base cotización por meses'!H62,IF($P$33="julio",'Base cotización por meses'!I62,IF($P$33="agosto",'Base cotización por meses'!J62,IF($P$33="septiembre",'Base cotización por meses'!K62,IF($P$33="octubre",'Base cotización por meses'!L62,IF($P$33="noviembre",'Base cotización por meses'!M62,IF($P$33="diciembre",'Base cotización por meses'!N62,IF($P$33="media",'Base cotización por meses'!H17)))))))))))))*$P$45</f>
        <v>6.1363076923076934</v>
      </c>
      <c r="M17" s="62">
        <f ca="1">IF($P$33="enero",'Base cotización por meses'!C62,IF($P$33="febrero",'Base cotización por meses'!D62,IF($P$33="marzo",'Base cotización por meses'!E62,IF($P$33="abril",'Base cotización por meses'!F62,IF($P$33="mayo",'Base cotización por meses'!G62,IF($P$33="junio",'Base cotización por meses'!H62,IF($P$33="julio",'Base cotización por meses'!I62,IF($P$33="agosto",'Base cotización por meses'!J62,IF($P$33="septiembre",'Base cotización por meses'!K62,IF($P$33="octubre",'Base cotización por meses'!L62,IF($P$33="noviembre",'Base cotización por meses'!M62,IF($P$33="diciembre",'Base cotización por meses'!N62,IF($P$33="media",'Base cotización por meses'!H17)))))))))))))*$P$48</f>
        <v>2.0454358974358979</v>
      </c>
      <c r="N17" s="50">
        <f t="shared" ca="1" si="2"/>
        <v>1372.9988461538462</v>
      </c>
      <c r="O17" s="10"/>
      <c r="P17" s="68" t="s">
        <v>58</v>
      </c>
      <c r="Q17" s="67">
        <f ca="1">'Calendario Laboral 2026'!X20</f>
        <v>20</v>
      </c>
    </row>
    <row r="18" spans="2:21">
      <c r="B18" s="3">
        <v>27</v>
      </c>
      <c r="C18" s="9">
        <f t="shared" si="3"/>
        <v>614.34</v>
      </c>
      <c r="D18" s="9">
        <f t="shared" si="4"/>
        <v>58.624615384615424</v>
      </c>
      <c r="E18" s="9">
        <f t="shared" ca="1" si="5"/>
        <v>90.166153846153861</v>
      </c>
      <c r="F18" s="9">
        <f t="shared" ca="1" si="0"/>
        <v>46.935000000000059</v>
      </c>
      <c r="G18" s="9">
        <f t="shared" ca="1" si="1"/>
        <v>176.12653846153847</v>
      </c>
      <c r="H18" s="62">
        <f ca="1">IF($P$33="enero",'Base cotización por meses'!C63,IF($P$33="febrero",'Base cotización por meses'!D63,IF($P$33="marzo",'Base cotización por meses'!E63,IF($P$33="abril",'Base cotización por meses'!F63,IF($P$33="mayo",'Base cotización por meses'!G63,IF($P$33="junio",'Base cotización por meses'!H63,IF($P$33="julio",'Base cotización por meses'!I63,IF($P$33="agosto",'Base cotización por meses'!J63,IF($P$33="septiembre",'Base cotización por meses'!K63,IF($P$33="octubre",'Base cotización por meses'!L63,IF($P$33="noviembre",'Base cotización por meses'!M63,IF($P$33="diciembre",'Base cotización por meses'!N63,IF($P$33="media",'Base cotización por meses'!H18)))))))))))))*$P$36</f>
        <v>232.74138461538465</v>
      </c>
      <c r="I18" s="62">
        <f ca="1">IF($P$33="enero",'Base cotización por meses'!C63,IF($P$33="febrero",'Base cotización por meses'!D63,IF($P$33="marzo",'Base cotización por meses'!E63,IF($P$33="abril",'Base cotización por meses'!F63,IF($P$33="mayo",'Base cotización por meses'!G63,IF($P$33="junio",'Base cotización por meses'!H63,IF($P$33="julio",'Base cotización por meses'!I63,IF($P$33="agosto",'Base cotización por meses'!J63,IF($P$33="septiembre",'Base cotización por meses'!K63,IF($P$33="octubre",'Base cotización por meses'!L63,IF($P$33="noviembre",'Base cotización por meses'!M63,IF($P$33="diciembre",'Base cotización por meses'!N63,IF($P$33="media",'Base cotización por meses'!H18)))))))))))))*$P$51</f>
        <v>7.3964423076923085</v>
      </c>
      <c r="J18" s="62">
        <f ca="1">IF($P$33="enero",'Base cotización por meses'!C63,IF($P$33="febrero",'Base cotización por meses'!D63,IF($P$33="marzo",'Base cotización por meses'!E63,IF($P$33="abril",'Base cotización por meses'!F63,IF($P$33="mayo",'Base cotización por meses'!G63,IF($P$33="junio",'Base cotización por meses'!H63,IF($P$33="julio",'Base cotización por meses'!I63,IF($P$33="agosto",'Base cotización por meses'!J63,IF($P$33="septiembre",'Base cotización por meses'!K63,IF($P$33="octubre",'Base cotización por meses'!L63,IF($P$33="noviembre",'Base cotización por meses'!M63,IF($P$33="diciembre",'Base cotización por meses'!N63,IF($P$33="media",'Base cotización por meses'!H18)))))))))))))*$P$39</f>
        <v>35.502923076923082</v>
      </c>
      <c r="K18" s="62">
        <f ca="1">IF($P$33="enero",'Base cotización por meses'!C63,IF($P$33="febrero",'Base cotización por meses'!D63,IF($P$33="marzo",'Base cotización por meses'!E63,IF($P$33="abril",'Base cotización por meses'!F63,IF($P$33="mayo",'Base cotización por meses'!G63,IF($P$33="junio",'Base cotización por meses'!H63,IF($P$33="julio",'Base cotización por meses'!I63,IF($P$33="agosto",'Base cotización por meses'!J63,IF($P$33="septiembre",'Base cotización por meses'!K63,IF($P$33="octubre",'Base cotización por meses'!L63,IF($P$33="noviembre",'Base cotización por meses'!M63,IF($P$33="diciembre",'Base cotización por meses'!N63,IF($P$33="media",'Base cotización por meses'!H18)))))))))))))*$P$42</f>
        <v>54.240576923076929</v>
      </c>
      <c r="L18" s="62">
        <f ca="1">IF($P$33="enero",'Base cotización por meses'!C63,IF($P$33="febrero",'Base cotización por meses'!D63,IF($P$33="marzo",'Base cotización por meses'!E63,IF($P$33="abril",'Base cotización por meses'!F63,IF($P$33="mayo",'Base cotización por meses'!G63,IF($P$33="junio",'Base cotización por meses'!H63,IF($P$33="julio",'Base cotización por meses'!I63,IF($P$33="agosto",'Base cotización por meses'!J63,IF($P$33="septiembre",'Base cotización por meses'!K63,IF($P$33="octubre",'Base cotización por meses'!L63,IF($P$33="noviembre",'Base cotización por meses'!M63,IF($P$33="diciembre",'Base cotización por meses'!N63,IF($P$33="media",'Base cotización por meses'!H18)))))))))))))*$P$45</f>
        <v>5.9171538461538473</v>
      </c>
      <c r="M18" s="62">
        <f ca="1">IF($P$33="enero",'Base cotización por meses'!C63,IF($P$33="febrero",'Base cotización por meses'!D63,IF($P$33="marzo",'Base cotización por meses'!E63,IF($P$33="abril",'Base cotización por meses'!F63,IF($P$33="mayo",'Base cotización por meses'!G63,IF($P$33="junio",'Base cotización por meses'!H63,IF($P$33="julio",'Base cotización por meses'!I63,IF($P$33="agosto",'Base cotización por meses'!J63,IF($P$33="septiembre",'Base cotización por meses'!K63,IF($P$33="octubre",'Base cotización por meses'!L63,IF($P$33="noviembre",'Base cotización por meses'!M63,IF($P$33="diciembre",'Base cotización por meses'!N63,IF($P$33="media",'Base cotización por meses'!H18)))))))))))))*$P$48</f>
        <v>1.9723846153846158</v>
      </c>
      <c r="N18" s="50">
        <f t="shared" ca="1" si="2"/>
        <v>1323.9631730769236</v>
      </c>
      <c r="P18" s="68" t="s">
        <v>59</v>
      </c>
      <c r="Q18" s="67">
        <f ca="1">'Calendario Laboral 2026'!H31</f>
        <v>20</v>
      </c>
    </row>
    <row r="19" spans="2:21">
      <c r="B19" s="3">
        <v>26</v>
      </c>
      <c r="C19" s="9">
        <f t="shared" si="3"/>
        <v>591.5866666666667</v>
      </c>
      <c r="D19" s="9">
        <f t="shared" si="4"/>
        <v>56.453333333333369</v>
      </c>
      <c r="E19" s="9">
        <f t="shared" ca="1" si="5"/>
        <v>86.826666666666682</v>
      </c>
      <c r="F19" s="9">
        <f t="shared" ca="1" si="0"/>
        <v>45.196666666666601</v>
      </c>
      <c r="G19" s="9">
        <f t="shared" ca="1" si="1"/>
        <v>169.60333333333335</v>
      </c>
      <c r="H19" s="62">
        <f ca="1">IF($P$33="enero",'Base cotización por meses'!C64,IF($P$33="febrero",'Base cotización por meses'!D64,IF($P$33="marzo",'Base cotización por meses'!E64,IF($P$33="abril",'Base cotización por meses'!F64,IF($P$33="mayo",'Base cotización por meses'!G64,IF($P$33="junio",'Base cotización por meses'!H64,IF($P$33="julio",'Base cotización por meses'!I64,IF($P$33="agosto",'Base cotización por meses'!J64,IF($P$33="septiembre",'Base cotización por meses'!K64,IF($P$33="octubre",'Base cotización por meses'!L64,IF($P$33="noviembre",'Base cotización por meses'!M64,IF($P$33="diciembre",'Base cotización por meses'!N64,IF($P$33="media",'Base cotización por meses'!H19)))))))))))))*$P$36</f>
        <v>224.12133333333333</v>
      </c>
      <c r="I19" s="62">
        <f ca="1">IF($P$33="enero",'Base cotización por meses'!C64,IF($P$33="febrero",'Base cotización por meses'!D64,IF($P$33="marzo",'Base cotización por meses'!E64,IF($P$33="abril",'Base cotización por meses'!F64,IF($P$33="mayo",'Base cotización por meses'!G64,IF($P$33="junio",'Base cotización por meses'!H64,IF($P$33="julio",'Base cotización por meses'!I64,IF($P$33="agosto",'Base cotización por meses'!J64,IF($P$33="septiembre",'Base cotización por meses'!K64,IF($P$33="octubre",'Base cotización por meses'!L64,IF($P$33="noviembre",'Base cotización por meses'!M64,IF($P$33="diciembre",'Base cotización por meses'!N64,IF($P$33="media",'Base cotización por meses'!H19)))))))))))))*$P$51</f>
        <v>7.1225000000000005</v>
      </c>
      <c r="J19" s="62">
        <f ca="1">IF($P$33="enero",'Base cotización por meses'!C64,IF($P$33="febrero",'Base cotización por meses'!D64,IF($P$33="marzo",'Base cotización por meses'!E64,IF($P$33="abril",'Base cotización por meses'!F64,IF($P$33="mayo",'Base cotización por meses'!G64,IF($P$33="junio",'Base cotización por meses'!H64,IF($P$33="julio",'Base cotización por meses'!I64,IF($P$33="agosto",'Base cotización por meses'!J64,IF($P$33="septiembre",'Base cotización por meses'!K64,IF($P$33="octubre",'Base cotización por meses'!L64,IF($P$33="noviembre",'Base cotización por meses'!M64,IF($P$33="diciembre",'Base cotización por meses'!N64,IF($P$33="media",'Base cotización por meses'!H19)))))))))))))*$P$39</f>
        <v>34.188000000000002</v>
      </c>
      <c r="K19" s="62">
        <f ca="1">IF($P$33="enero",'Base cotización por meses'!C64,IF($P$33="febrero",'Base cotización por meses'!D64,IF($P$33="marzo",'Base cotización por meses'!E64,IF($P$33="abril",'Base cotización por meses'!F64,IF($P$33="mayo",'Base cotización por meses'!G64,IF($P$33="junio",'Base cotización por meses'!H64,IF($P$33="julio",'Base cotización por meses'!I64,IF($P$33="agosto",'Base cotización por meses'!J64,IF($P$33="septiembre",'Base cotización por meses'!K64,IF($P$33="octubre",'Base cotización por meses'!L64,IF($P$33="noviembre",'Base cotización por meses'!M64,IF($P$33="diciembre",'Base cotización por meses'!N64,IF($P$33="media",'Base cotización por meses'!H19)))))))))))))*$P$42</f>
        <v>52.231666666666669</v>
      </c>
      <c r="L19" s="62">
        <f ca="1">IF($P$33="enero",'Base cotización por meses'!C64,IF($P$33="febrero",'Base cotización por meses'!D64,IF($P$33="marzo",'Base cotización por meses'!E64,IF($P$33="abril",'Base cotización por meses'!F64,IF($P$33="mayo",'Base cotización por meses'!G64,IF($P$33="junio",'Base cotización por meses'!H64,IF($P$33="julio",'Base cotización por meses'!I64,IF($P$33="agosto",'Base cotización por meses'!J64,IF($P$33="septiembre",'Base cotización por meses'!K64,IF($P$33="octubre",'Base cotización por meses'!L64,IF($P$33="noviembre",'Base cotización por meses'!M64,IF($P$33="diciembre",'Base cotización por meses'!N64,IF($P$33="media",'Base cotización por meses'!H19)))))))))))))*$P$45</f>
        <v>5.6980000000000004</v>
      </c>
      <c r="M19" s="62">
        <f ca="1">IF($P$33="enero",'Base cotización por meses'!C64,IF($P$33="febrero",'Base cotización por meses'!D64,IF($P$33="marzo",'Base cotización por meses'!E64,IF($P$33="abril",'Base cotización por meses'!F64,IF($P$33="mayo",'Base cotización por meses'!G64,IF($P$33="junio",'Base cotización por meses'!H64,IF($P$33="julio",'Base cotización por meses'!I64,IF($P$33="agosto",'Base cotización por meses'!J64,IF($P$33="septiembre",'Base cotización por meses'!K64,IF($P$33="octubre",'Base cotización por meses'!L64,IF($P$33="noviembre",'Base cotización por meses'!M64,IF($P$33="diciembre",'Base cotización por meses'!N64,IF($P$33="media",'Base cotización por meses'!H19)))))))))))))*$P$48</f>
        <v>1.8993333333333335</v>
      </c>
      <c r="N19" s="50">
        <f t="shared" ca="1" si="2"/>
        <v>1274.9275</v>
      </c>
      <c r="O19" s="69"/>
      <c r="P19" s="68" t="s">
        <v>60</v>
      </c>
      <c r="Q19" s="67">
        <f ca="1">'Calendario Laboral 2026'!P31</f>
        <v>20</v>
      </c>
      <c r="T19" s="69"/>
    </row>
    <row r="20" spans="2:21">
      <c r="B20" s="3">
        <v>25</v>
      </c>
      <c r="C20" s="9">
        <f t="shared" si="3"/>
        <v>568.83333333333337</v>
      </c>
      <c r="D20" s="9">
        <f t="shared" si="4"/>
        <v>54.28205128205132</v>
      </c>
      <c r="E20" s="9">
        <f t="shared" ca="1" si="5"/>
        <v>83.487179487179503</v>
      </c>
      <c r="F20" s="9">
        <f t="shared" ca="1" si="0"/>
        <v>43.458333333333371</v>
      </c>
      <c r="G20" s="9">
        <f t="shared" ca="1" si="1"/>
        <v>163.08012820512823</v>
      </c>
      <c r="H20" s="62">
        <f ca="1">IF($P$33="enero",'Base cotización por meses'!C65,IF($P$33="febrero",'Base cotización por meses'!D65,IF($P$33="marzo",'Base cotización por meses'!E65,IF($P$33="abril",'Base cotización por meses'!F65,IF($P$33="mayo",'Base cotización por meses'!G65,IF($P$33="junio",'Base cotización por meses'!H65,IF($P$33="julio",'Base cotización por meses'!I65,IF($P$33="agosto",'Base cotización por meses'!J65,IF($P$33="septiembre",'Base cotización por meses'!K65,IF($P$33="octubre",'Base cotización por meses'!L65,IF($P$33="noviembre",'Base cotización por meses'!M65,IF($P$33="diciembre",'Base cotización por meses'!N65,IF($P$33="media",'Base cotización por meses'!H20)))))))))))))*$P$36</f>
        <v>215.50128205128209</v>
      </c>
      <c r="I20" s="62">
        <f ca="1">IF($P$33="enero",'Base cotización por meses'!C65,IF($P$33="febrero",'Base cotización por meses'!D65,IF($P$33="marzo",'Base cotización por meses'!E65,IF($P$33="abril",'Base cotización por meses'!F65,IF($P$33="mayo",'Base cotización por meses'!G65,IF($P$33="junio",'Base cotización por meses'!H65,IF($P$33="julio",'Base cotización por meses'!I65,IF($P$33="agosto",'Base cotización por meses'!J65,IF($P$33="septiembre",'Base cotización por meses'!K65,IF($P$33="octubre",'Base cotización por meses'!L65,IF($P$33="noviembre",'Base cotización por meses'!M65,IF($P$33="diciembre",'Base cotización por meses'!N65,IF($P$33="media",'Base cotización por meses'!H20)))))))))))))*$P$51</f>
        <v>6.8485576923076934</v>
      </c>
      <c r="J20" s="62">
        <f ca="1">IF($P$33="enero",'Base cotización por meses'!C65,IF($P$33="febrero",'Base cotización por meses'!D65,IF($P$33="marzo",'Base cotización por meses'!E65,IF($P$33="abril",'Base cotización por meses'!F65,IF($P$33="mayo",'Base cotización por meses'!G65,IF($P$33="junio",'Base cotización por meses'!H65,IF($P$33="julio",'Base cotización por meses'!I65,IF($P$33="agosto",'Base cotización por meses'!J65,IF($P$33="septiembre",'Base cotización por meses'!K65,IF($P$33="octubre",'Base cotización por meses'!L65,IF($P$33="noviembre",'Base cotización por meses'!M65,IF($P$33="diciembre",'Base cotización por meses'!N65,IF($P$33="media",'Base cotización por meses'!H20)))))))))))))*$P$39</f>
        <v>32.87307692307693</v>
      </c>
      <c r="K20" s="62">
        <f ca="1">IF($P$33="enero",'Base cotización por meses'!C65,IF($P$33="febrero",'Base cotización por meses'!D65,IF($P$33="marzo",'Base cotización por meses'!E65,IF($P$33="abril",'Base cotización por meses'!F65,IF($P$33="mayo",'Base cotización por meses'!G65,IF($P$33="junio",'Base cotización por meses'!H65,IF($P$33="julio",'Base cotización por meses'!I65,IF($P$33="agosto",'Base cotización por meses'!J65,IF($P$33="septiembre",'Base cotización por meses'!K65,IF($P$33="octubre",'Base cotización por meses'!L65,IF($P$33="noviembre",'Base cotización por meses'!M65,IF($P$33="diciembre",'Base cotización por meses'!N65,IF($P$33="media",'Base cotización por meses'!H20)))))))))))))*$P$42</f>
        <v>50.222756410256423</v>
      </c>
      <c r="L20" s="62">
        <f ca="1">IF($P$33="enero",'Base cotización por meses'!C65,IF($P$33="febrero",'Base cotización por meses'!D65,IF($P$33="marzo",'Base cotización por meses'!E65,IF($P$33="abril",'Base cotización por meses'!F65,IF($P$33="mayo",'Base cotización por meses'!G65,IF($P$33="junio",'Base cotización por meses'!H65,IF($P$33="julio",'Base cotización por meses'!I65,IF($P$33="agosto",'Base cotización por meses'!J65,IF($P$33="septiembre",'Base cotización por meses'!K65,IF($P$33="octubre",'Base cotización por meses'!L65,IF($P$33="noviembre",'Base cotización por meses'!M65,IF($P$33="diciembre",'Base cotización por meses'!N65,IF($P$33="media",'Base cotización por meses'!H20)))))))))))))*$P$45</f>
        <v>5.4788461538461553</v>
      </c>
      <c r="M20" s="62">
        <f ca="1">IF($P$33="enero",'Base cotización por meses'!C65,IF($P$33="febrero",'Base cotización por meses'!D65,IF($P$33="marzo",'Base cotización por meses'!E65,IF($P$33="abril",'Base cotización por meses'!F65,IF($P$33="mayo",'Base cotización por meses'!G65,IF($P$33="junio",'Base cotización por meses'!H65,IF($P$33="julio",'Base cotización por meses'!I65,IF($P$33="agosto",'Base cotización por meses'!J65,IF($P$33="septiembre",'Base cotización por meses'!K65,IF($P$33="octubre",'Base cotización por meses'!L65,IF($P$33="noviembre",'Base cotización por meses'!M65,IF($P$33="diciembre",'Base cotización por meses'!N65,IF($P$33="media",'Base cotización por meses'!H20)))))))))))))*$P$48</f>
        <v>1.8262820512820517</v>
      </c>
      <c r="N20" s="50">
        <f t="shared" ca="1" si="2"/>
        <v>1225.8918269230771</v>
      </c>
      <c r="O20" s="69"/>
      <c r="P20" s="68" t="s">
        <v>61</v>
      </c>
      <c r="Q20" s="67">
        <f ca="1">'Calendario Laboral 2026'!X31</f>
        <v>20</v>
      </c>
      <c r="T20" s="69"/>
    </row>
    <row r="21" spans="2:21">
      <c r="B21" s="3">
        <v>24</v>
      </c>
      <c r="C21" s="9">
        <f t="shared" si="3"/>
        <v>546.08000000000004</v>
      </c>
      <c r="D21" s="9">
        <f t="shared" si="4"/>
        <v>52.110769230769264</v>
      </c>
      <c r="E21" s="9">
        <f t="shared" ca="1" si="5"/>
        <v>80.147692307692324</v>
      </c>
      <c r="F21" s="9">
        <f t="shared" ca="1" si="0"/>
        <v>41.720000000000027</v>
      </c>
      <c r="G21" s="9">
        <f t="shared" ca="1" si="1"/>
        <v>156.55692307692311</v>
      </c>
      <c r="H21" s="62">
        <f ca="1">IF($P$33="enero",'Base cotización por meses'!C66,IF($P$33="febrero",'Base cotización por meses'!D66,IF($P$33="marzo",'Base cotización por meses'!E66,IF($P$33="abril",'Base cotización por meses'!F66,IF($P$33="mayo",'Base cotización por meses'!G66,IF($P$33="junio",'Base cotización por meses'!H66,IF($P$33="julio",'Base cotización por meses'!I66,IF($P$33="agosto",'Base cotización por meses'!J66,IF($P$33="septiembre",'Base cotización por meses'!K66,IF($P$33="octubre",'Base cotización por meses'!L66,IF($P$33="noviembre",'Base cotización por meses'!M66,IF($P$33="diciembre",'Base cotización por meses'!N66,IF($P$33="media",'Base cotización por meses'!H21)))))))))))))*$P$36</f>
        <v>206.8812307692308</v>
      </c>
      <c r="I21" s="62">
        <f ca="1">IF($P$33="enero",'Base cotización por meses'!C66,IF($P$33="febrero",'Base cotización por meses'!D66,IF($P$33="marzo",'Base cotización por meses'!E66,IF($P$33="abril",'Base cotización por meses'!F66,IF($P$33="mayo",'Base cotización por meses'!G66,IF($P$33="junio",'Base cotización por meses'!H66,IF($P$33="julio",'Base cotización por meses'!I66,IF($P$33="agosto",'Base cotización por meses'!J66,IF($P$33="septiembre",'Base cotización por meses'!K66,IF($P$33="octubre",'Base cotización por meses'!L66,IF($P$33="noviembre",'Base cotización por meses'!M66,IF($P$33="diciembre",'Base cotización por meses'!N66,IF($P$33="media",'Base cotización por meses'!H21)))))))))))))*$P$51</f>
        <v>6.5746153846153854</v>
      </c>
      <c r="J21" s="62">
        <f ca="1">IF($P$33="enero",'Base cotización por meses'!C66,IF($P$33="febrero",'Base cotización por meses'!D66,IF($P$33="marzo",'Base cotización por meses'!E66,IF($P$33="abril",'Base cotización por meses'!F66,IF($P$33="mayo",'Base cotización por meses'!G66,IF($P$33="junio",'Base cotización por meses'!H66,IF($P$33="julio",'Base cotización por meses'!I66,IF($P$33="agosto",'Base cotización por meses'!J66,IF($P$33="septiembre",'Base cotización por meses'!K66,IF($P$33="octubre",'Base cotización por meses'!L66,IF($P$33="noviembre",'Base cotización por meses'!M66,IF($P$33="diciembre",'Base cotización por meses'!N66,IF($P$33="media",'Base cotización por meses'!H21)))))))))))))*$P$39</f>
        <v>31.55815384615385</v>
      </c>
      <c r="K21" s="62">
        <f ca="1">IF($P$33="enero",'Base cotización por meses'!C66,IF($P$33="febrero",'Base cotización por meses'!D66,IF($P$33="marzo",'Base cotización por meses'!E66,IF($P$33="abril",'Base cotización por meses'!F66,IF($P$33="mayo",'Base cotización por meses'!G66,IF($P$33="junio",'Base cotización por meses'!H66,IF($P$33="julio",'Base cotización por meses'!I66,IF($P$33="agosto",'Base cotización por meses'!J66,IF($P$33="septiembre",'Base cotización por meses'!K66,IF($P$33="octubre",'Base cotización por meses'!L66,IF($P$33="noviembre",'Base cotización por meses'!M66,IF($P$33="diciembre",'Base cotización por meses'!N66,IF($P$33="media",'Base cotización por meses'!H21)))))))))))))*$P$42</f>
        <v>48.213846153846163</v>
      </c>
      <c r="L21" s="62">
        <f ca="1">IF($P$33="enero",'Base cotización por meses'!C66,IF($P$33="febrero",'Base cotización por meses'!D66,IF($P$33="marzo",'Base cotización por meses'!E66,IF($P$33="abril",'Base cotización por meses'!F66,IF($P$33="mayo",'Base cotización por meses'!G66,IF($P$33="junio",'Base cotización por meses'!H66,IF($P$33="julio",'Base cotización por meses'!I66,IF($P$33="agosto",'Base cotización por meses'!J66,IF($P$33="septiembre",'Base cotización por meses'!K66,IF($P$33="octubre",'Base cotización por meses'!L66,IF($P$33="noviembre",'Base cotización por meses'!M66,IF($P$33="diciembre",'Base cotización por meses'!N66,IF($P$33="media",'Base cotización por meses'!H21)))))))))))))*$P$45</f>
        <v>5.2596923076923083</v>
      </c>
      <c r="M21" s="62">
        <f ca="1">IF($P$33="enero",'Base cotización por meses'!C66,IF($P$33="febrero",'Base cotización por meses'!D66,IF($P$33="marzo",'Base cotización por meses'!E66,IF($P$33="abril",'Base cotización por meses'!F66,IF($P$33="mayo",'Base cotización por meses'!G66,IF($P$33="junio",'Base cotización por meses'!H66,IF($P$33="julio",'Base cotización por meses'!I66,IF($P$33="agosto",'Base cotización por meses'!J66,IF($P$33="septiembre",'Base cotización por meses'!K66,IF($P$33="octubre",'Base cotización por meses'!L66,IF($P$33="noviembre",'Base cotización por meses'!M66,IF($P$33="diciembre",'Base cotización por meses'!N66,IF($P$33="media",'Base cotización por meses'!H21)))))))))))))*$P$48</f>
        <v>1.7532307692307696</v>
      </c>
      <c r="N21" s="50">
        <f t="shared" ca="1" si="2"/>
        <v>1176.856153846154</v>
      </c>
      <c r="O21" s="69"/>
      <c r="P21" s="68" t="s">
        <v>62</v>
      </c>
      <c r="Q21" s="67">
        <f ca="1">'Calendario Laboral 2026'!H43</f>
        <v>23</v>
      </c>
      <c r="T21" s="69"/>
      <c r="U21" s="70"/>
    </row>
    <row r="22" spans="2:21">
      <c r="B22" s="3">
        <v>23</v>
      </c>
      <c r="C22" s="9">
        <f t="shared" si="3"/>
        <v>523.32666666666671</v>
      </c>
      <c r="D22" s="9">
        <f t="shared" si="4"/>
        <v>49.939487179487216</v>
      </c>
      <c r="E22" s="9">
        <f t="shared" ca="1" si="5"/>
        <v>76.808205128205145</v>
      </c>
      <c r="F22" s="9">
        <f t="shared" ca="1" si="0"/>
        <v>39.981666666666683</v>
      </c>
      <c r="G22" s="9">
        <f t="shared" ca="1" si="1"/>
        <v>150.03371794871796</v>
      </c>
      <c r="H22" s="62">
        <f ca="1">IF($P$33="enero",'Base cotización por meses'!C67,IF($P$33="febrero",'Base cotización por meses'!D67,IF($P$33="marzo",'Base cotización por meses'!E67,IF($P$33="abril",'Base cotización por meses'!F67,IF($P$33="mayo",'Base cotización por meses'!G67,IF($P$33="junio",'Base cotización por meses'!H67,IF($P$33="julio",'Base cotización por meses'!I67,IF($P$33="agosto",'Base cotización por meses'!J67,IF($P$33="septiembre",'Base cotización por meses'!K67,IF($P$33="octubre",'Base cotización por meses'!L67,IF($P$33="noviembre",'Base cotización por meses'!M67,IF($P$33="diciembre",'Base cotización por meses'!N67,IF($P$33="media",'Base cotización por meses'!H22)))))))))))))*$P$36</f>
        <v>198.2611794871795</v>
      </c>
      <c r="I22" s="62">
        <f ca="1">IF($P$33="enero",'Base cotización por meses'!C67,IF($P$33="febrero",'Base cotización por meses'!D67,IF($P$33="marzo",'Base cotización por meses'!E67,IF($P$33="abril",'Base cotización por meses'!F67,IF($P$33="mayo",'Base cotización por meses'!G67,IF($P$33="junio",'Base cotización por meses'!H67,IF($P$33="julio",'Base cotización por meses'!I67,IF($P$33="agosto",'Base cotización por meses'!J67,IF($P$33="septiembre",'Base cotización por meses'!K67,IF($P$33="octubre",'Base cotización por meses'!L67,IF($P$33="noviembre",'Base cotización por meses'!M67,IF($P$33="diciembre",'Base cotización por meses'!N67,IF($P$33="media",'Base cotización por meses'!H22)))))))))))))*$P$51</f>
        <v>6.3006730769230774</v>
      </c>
      <c r="J22" s="62">
        <f ca="1">IF($P$33="enero",'Base cotización por meses'!C67,IF($P$33="febrero",'Base cotización por meses'!D67,IF($P$33="marzo",'Base cotización por meses'!E67,IF($P$33="abril",'Base cotización por meses'!F67,IF($P$33="mayo",'Base cotización por meses'!G67,IF($P$33="junio",'Base cotización por meses'!H67,IF($P$33="julio",'Base cotización por meses'!I67,IF($P$33="agosto",'Base cotización por meses'!J67,IF($P$33="septiembre",'Base cotización por meses'!K67,IF($P$33="octubre",'Base cotización por meses'!L67,IF($P$33="noviembre",'Base cotización por meses'!M67,IF($P$33="diciembre",'Base cotización por meses'!N67,IF($P$33="media",'Base cotización por meses'!H22)))))))))))))*$P$39</f>
        <v>30.24323076923077</v>
      </c>
      <c r="K22" s="62">
        <f ca="1">IF($P$33="enero",'Base cotización por meses'!C67,IF($P$33="febrero",'Base cotización por meses'!D67,IF($P$33="marzo",'Base cotización por meses'!E67,IF($P$33="abril",'Base cotización por meses'!F67,IF($P$33="mayo",'Base cotización por meses'!G67,IF($P$33="junio",'Base cotización por meses'!H67,IF($P$33="julio",'Base cotización por meses'!I67,IF($P$33="agosto",'Base cotización por meses'!J67,IF($P$33="septiembre",'Base cotización por meses'!K67,IF($P$33="octubre",'Base cotización por meses'!L67,IF($P$33="noviembre",'Base cotización por meses'!M67,IF($P$33="diciembre",'Base cotización por meses'!N67,IF($P$33="media",'Base cotización por meses'!H22)))))))))))))*$P$42</f>
        <v>46.204935897435902</v>
      </c>
      <c r="L22" s="62">
        <f ca="1">IF($P$33="enero",'Base cotización por meses'!C67,IF($P$33="febrero",'Base cotización por meses'!D67,IF($P$33="marzo",'Base cotización por meses'!E67,IF($P$33="abril",'Base cotización por meses'!F67,IF($P$33="mayo",'Base cotización por meses'!G67,IF($P$33="junio",'Base cotización por meses'!H67,IF($P$33="julio",'Base cotización por meses'!I67,IF($P$33="agosto",'Base cotización por meses'!J67,IF($P$33="septiembre",'Base cotización por meses'!K67,IF($P$33="octubre",'Base cotización por meses'!L67,IF($P$33="noviembre",'Base cotización por meses'!M67,IF($P$33="diciembre",'Base cotización por meses'!N67,IF($P$33="media",'Base cotización por meses'!H22)))))))))))))*$P$45</f>
        <v>5.0405384615384623</v>
      </c>
      <c r="M22" s="62">
        <f ca="1">IF($P$33="enero",'Base cotización por meses'!C67,IF($P$33="febrero",'Base cotización por meses'!D67,IF($P$33="marzo",'Base cotización por meses'!E67,IF($P$33="abril",'Base cotización por meses'!F67,IF($P$33="mayo",'Base cotización por meses'!G67,IF($P$33="junio",'Base cotización por meses'!H67,IF($P$33="julio",'Base cotización por meses'!I67,IF($P$33="agosto",'Base cotización por meses'!J67,IF($P$33="septiembre",'Base cotización por meses'!K67,IF($P$33="octubre",'Base cotización por meses'!L67,IF($P$33="noviembre",'Base cotización por meses'!M67,IF($P$33="diciembre",'Base cotización por meses'!N67,IF($P$33="media",'Base cotización por meses'!H22)))))))))))))*$P$48</f>
        <v>1.6801794871794873</v>
      </c>
      <c r="N22" s="50">
        <f t="shared" ca="1" si="2"/>
        <v>1127.8204807692309</v>
      </c>
      <c r="O22" s="10"/>
      <c r="P22" s="68" t="s">
        <v>63</v>
      </c>
      <c r="Q22" s="67">
        <f ca="1">'Calendario Laboral 2026'!P43</f>
        <v>21</v>
      </c>
      <c r="S22" s="10"/>
      <c r="T22" s="69"/>
      <c r="U22" s="10"/>
    </row>
    <row r="23" spans="2:21">
      <c r="B23" s="3">
        <v>22</v>
      </c>
      <c r="C23" s="9">
        <f t="shared" si="3"/>
        <v>500.57333333333338</v>
      </c>
      <c r="D23" s="9">
        <f t="shared" si="4"/>
        <v>47.768205128205167</v>
      </c>
      <c r="E23" s="9">
        <f t="shared" ca="1" si="5"/>
        <v>73.468717948717966</v>
      </c>
      <c r="F23" s="9">
        <f t="shared" ca="1" si="0"/>
        <v>38.243333333333226</v>
      </c>
      <c r="G23" s="9">
        <f t="shared" ca="1" si="1"/>
        <v>143.51051282051287</v>
      </c>
      <c r="H23" s="62">
        <f ca="1">IF($P$33="enero",'Base cotización por meses'!C68,IF($P$33="febrero",'Base cotización por meses'!D68,IF($P$33="marzo",'Base cotización por meses'!E68,IF($P$33="abril",'Base cotización por meses'!F68,IF($P$33="mayo",'Base cotización por meses'!G68,IF($P$33="junio",'Base cotización por meses'!H68,IF($P$33="julio",'Base cotización por meses'!I68,IF($P$33="agosto",'Base cotización por meses'!J68,IF($P$33="septiembre",'Base cotización por meses'!K68,IF($P$33="octubre",'Base cotización por meses'!L68,IF($P$33="noviembre",'Base cotización por meses'!M68,IF($P$33="diciembre",'Base cotización por meses'!N68,IF($P$33="media",'Base cotización por meses'!H23)))))))))))))*$P$36</f>
        <v>189.64112820512821</v>
      </c>
      <c r="I23" s="62">
        <f ca="1">IF($P$33="enero",'Base cotización por meses'!C68,IF($P$33="febrero",'Base cotización por meses'!D68,IF($P$33="marzo",'Base cotización por meses'!E68,IF($P$33="abril",'Base cotización por meses'!F68,IF($P$33="mayo",'Base cotización por meses'!G68,IF($P$33="junio",'Base cotización por meses'!H68,IF($P$33="julio",'Base cotización por meses'!I68,IF($P$33="agosto",'Base cotización por meses'!J68,IF($P$33="septiembre",'Base cotización por meses'!K68,IF($P$33="octubre",'Base cotización por meses'!L68,IF($P$33="noviembre",'Base cotización por meses'!M68,IF($P$33="diciembre",'Base cotización por meses'!N68,IF($P$33="media",'Base cotización por meses'!H23)))))))))))))*$P$51</f>
        <v>6.0267307692307694</v>
      </c>
      <c r="J23" s="62">
        <f ca="1">IF($P$33="enero",'Base cotización por meses'!C68,IF($P$33="febrero",'Base cotización por meses'!D68,IF($P$33="marzo",'Base cotización por meses'!E68,IF($P$33="abril",'Base cotización por meses'!F68,IF($P$33="mayo",'Base cotización por meses'!G68,IF($P$33="junio",'Base cotización por meses'!H68,IF($P$33="julio",'Base cotización por meses'!I68,IF($P$33="agosto",'Base cotización por meses'!J68,IF($P$33="septiembre",'Base cotización por meses'!K68,IF($P$33="octubre",'Base cotización por meses'!L68,IF($P$33="noviembre",'Base cotización por meses'!M68,IF($P$33="diciembre",'Base cotización por meses'!N68,IF($P$33="media",'Base cotización por meses'!H23)))))))))))))*$P$39</f>
        <v>28.928307692307694</v>
      </c>
      <c r="K23" s="62">
        <f ca="1">IF($P$33="enero",'Base cotización por meses'!C68,IF($P$33="febrero",'Base cotización por meses'!D68,IF($P$33="marzo",'Base cotización por meses'!E68,IF($P$33="abril",'Base cotización por meses'!F68,IF($P$33="mayo",'Base cotización por meses'!G68,IF($P$33="junio",'Base cotización por meses'!H68,IF($P$33="julio",'Base cotización por meses'!I68,IF($P$33="agosto",'Base cotización por meses'!J68,IF($P$33="septiembre",'Base cotización por meses'!K68,IF($P$33="octubre",'Base cotización por meses'!L68,IF($P$33="noviembre",'Base cotización por meses'!M68,IF($P$33="diciembre",'Base cotización por meses'!N68,IF($P$33="media",'Base cotización por meses'!H23)))))))))))))*$P$42</f>
        <v>44.196025641025649</v>
      </c>
      <c r="L23" s="62">
        <f ca="1">IF($P$33="enero",'Base cotización por meses'!C68,IF($P$33="febrero",'Base cotización por meses'!D68,IF($P$33="marzo",'Base cotización por meses'!E68,IF($P$33="abril",'Base cotización por meses'!F68,IF($P$33="mayo",'Base cotización por meses'!G68,IF($P$33="junio",'Base cotización por meses'!H68,IF($P$33="julio",'Base cotización por meses'!I68,IF($P$33="agosto",'Base cotización por meses'!J68,IF($P$33="septiembre",'Base cotización por meses'!K68,IF($P$33="octubre",'Base cotización por meses'!L68,IF($P$33="noviembre",'Base cotización por meses'!M68,IF($P$33="diciembre",'Base cotización por meses'!N68,IF($P$33="media",'Base cotización por meses'!H23)))))))))))))*$P$45</f>
        <v>4.8213846153846163</v>
      </c>
      <c r="M23" s="62">
        <f ca="1">IF($P$33="enero",'Base cotización por meses'!C68,IF($P$33="febrero",'Base cotización por meses'!D68,IF($P$33="marzo",'Base cotización por meses'!E68,IF($P$33="abril",'Base cotización por meses'!F68,IF($P$33="mayo",'Base cotización por meses'!G68,IF($P$33="junio",'Base cotización por meses'!H68,IF($P$33="julio",'Base cotización por meses'!I68,IF($P$33="agosto",'Base cotización por meses'!J68,IF($P$33="septiembre",'Base cotización por meses'!K68,IF($P$33="octubre",'Base cotización por meses'!L68,IF($P$33="noviembre",'Base cotización por meses'!M68,IF($P$33="diciembre",'Base cotización por meses'!N68,IF($P$33="media",'Base cotización por meses'!H23)))))))))))))*$P$48</f>
        <v>1.6071282051282054</v>
      </c>
      <c r="N23" s="50">
        <f t="shared" ca="1" si="2"/>
        <v>1078.7848076923078</v>
      </c>
      <c r="O23" s="10"/>
      <c r="P23" s="68" t="s">
        <v>64</v>
      </c>
      <c r="Q23" s="67">
        <f ca="1">'Calendario Laboral 2026'!X43</f>
        <v>22</v>
      </c>
      <c r="R23" s="10"/>
      <c r="S23" s="10"/>
      <c r="T23" s="10"/>
    </row>
    <row r="24" spans="2:21">
      <c r="B24" s="3">
        <v>21</v>
      </c>
      <c r="C24" s="9">
        <f t="shared" si="3"/>
        <v>477.82000000000005</v>
      </c>
      <c r="D24" s="9">
        <f t="shared" si="4"/>
        <v>45.596923076923119</v>
      </c>
      <c r="E24" s="9">
        <f t="shared" ca="1" si="5"/>
        <v>70.129230769230787</v>
      </c>
      <c r="F24" s="9">
        <f t="shared" ca="1" si="0"/>
        <v>36.505000000000109</v>
      </c>
      <c r="G24" s="9">
        <f t="shared" ca="1" si="1"/>
        <v>136.9873076923077</v>
      </c>
      <c r="H24" s="62">
        <f ca="1">IF($P$33="enero",'Base cotización por meses'!C69,IF($P$33="febrero",'Base cotización por meses'!D69,IF($P$33="marzo",'Base cotización por meses'!E69,IF($P$33="abril",'Base cotización por meses'!F69,IF($P$33="mayo",'Base cotización por meses'!G69,IF($P$33="junio",'Base cotización por meses'!H69,IF($P$33="julio",'Base cotización por meses'!I69,IF($P$33="agosto",'Base cotización por meses'!J69,IF($P$33="septiembre",'Base cotización por meses'!K69,IF($P$33="octubre",'Base cotización por meses'!L69,IF($P$33="noviembre",'Base cotización por meses'!M69,IF($P$33="diciembre",'Base cotización por meses'!N69,IF($P$33="media",'Base cotización por meses'!H24)))))))))))))*$P$36</f>
        <v>181.02107692307695</v>
      </c>
      <c r="I24" s="62">
        <f ca="1">IF($P$33="enero",'Base cotización por meses'!C69,IF($P$33="febrero",'Base cotización por meses'!D69,IF($P$33="marzo",'Base cotización por meses'!E69,IF($P$33="abril",'Base cotización por meses'!F69,IF($P$33="mayo",'Base cotización por meses'!G69,IF($P$33="junio",'Base cotización por meses'!H69,IF($P$33="julio",'Base cotización por meses'!I69,IF($P$33="agosto",'Base cotización por meses'!J69,IF($P$33="septiembre",'Base cotización por meses'!K69,IF($P$33="octubre",'Base cotización por meses'!L69,IF($P$33="noviembre",'Base cotización por meses'!M69,IF($P$33="diciembre",'Base cotización por meses'!N69,IF($P$33="media",'Base cotización por meses'!H24)))))))))))))*$P$51</f>
        <v>5.7527884615384624</v>
      </c>
      <c r="J24" s="62">
        <f ca="1">IF($P$33="enero",'Base cotización por meses'!C69,IF($P$33="febrero",'Base cotización por meses'!D69,IF($P$33="marzo",'Base cotización por meses'!E69,IF($P$33="abril",'Base cotización por meses'!F69,IF($P$33="mayo",'Base cotización por meses'!G69,IF($P$33="junio",'Base cotización por meses'!H69,IF($P$33="julio",'Base cotización por meses'!I69,IF($P$33="agosto",'Base cotización por meses'!J69,IF($P$33="septiembre",'Base cotización por meses'!K69,IF($P$33="octubre",'Base cotización por meses'!L69,IF($P$33="noviembre",'Base cotización por meses'!M69,IF($P$33="diciembre",'Base cotización por meses'!N69,IF($P$33="media",'Base cotización por meses'!H24)))))))))))))*$P$39</f>
        <v>27.613384615384618</v>
      </c>
      <c r="K24" s="62">
        <f ca="1">IF($P$33="enero",'Base cotización por meses'!C69,IF($P$33="febrero",'Base cotización por meses'!D69,IF($P$33="marzo",'Base cotización por meses'!E69,IF($P$33="abril",'Base cotización por meses'!F69,IF($P$33="mayo",'Base cotización por meses'!G69,IF($P$33="junio",'Base cotización por meses'!H69,IF($P$33="julio",'Base cotización por meses'!I69,IF($P$33="agosto",'Base cotización por meses'!J69,IF($P$33="septiembre",'Base cotización por meses'!K69,IF($P$33="octubre",'Base cotización por meses'!L69,IF($P$33="noviembre",'Base cotización por meses'!M69,IF($P$33="diciembre",'Base cotización por meses'!N69,IF($P$33="media",'Base cotización por meses'!H24)))))))))))))*$P$42</f>
        <v>42.187115384615389</v>
      </c>
      <c r="L24" s="62">
        <f ca="1">IF($P$33="enero",'Base cotización por meses'!C69,IF($P$33="febrero",'Base cotización por meses'!D69,IF($P$33="marzo",'Base cotización por meses'!E69,IF($P$33="abril",'Base cotización por meses'!F69,IF($P$33="mayo",'Base cotización por meses'!G69,IF($P$33="junio",'Base cotización por meses'!H69,IF($P$33="julio",'Base cotización por meses'!I69,IF($P$33="agosto",'Base cotización por meses'!J69,IF($P$33="septiembre",'Base cotización por meses'!K69,IF($P$33="octubre",'Base cotización por meses'!L69,IF($P$33="noviembre",'Base cotización por meses'!M69,IF($P$33="diciembre",'Base cotización por meses'!N69,IF($P$33="media",'Base cotización por meses'!H24)))))))))))))*$P$45</f>
        <v>4.6022307692307702</v>
      </c>
      <c r="M24" s="62">
        <f ca="1">IF($P$33="enero",'Base cotización por meses'!C69,IF($P$33="febrero",'Base cotización por meses'!D69,IF($P$33="marzo",'Base cotización por meses'!E69,IF($P$33="abril",'Base cotización por meses'!F69,IF($P$33="mayo",'Base cotización por meses'!G69,IF($P$33="junio",'Base cotización por meses'!H69,IF($P$33="julio",'Base cotización por meses'!I69,IF($P$33="agosto",'Base cotización por meses'!J69,IF($P$33="septiembre",'Base cotización por meses'!K69,IF($P$33="octubre",'Base cotización por meses'!L69,IF($P$33="noviembre",'Base cotización por meses'!M69,IF($P$33="diciembre",'Base cotización por meses'!N69,IF($P$33="media",'Base cotización por meses'!H24)))))))))))))*$P$48</f>
        <v>1.5340769230769233</v>
      </c>
      <c r="N24" s="50">
        <f t="shared" ca="1" si="2"/>
        <v>1029.7491346153847</v>
      </c>
      <c r="O24" s="10"/>
      <c r="P24" s="68" t="s">
        <v>65</v>
      </c>
      <c r="Q24" s="67">
        <f ca="1">'Calendario Laboral 2026'!H55</f>
        <v>20</v>
      </c>
    </row>
    <row r="25" spans="2:21">
      <c r="B25" s="3">
        <v>20</v>
      </c>
      <c r="C25" s="9">
        <f t="shared" si="3"/>
        <v>455.06666666666666</v>
      </c>
      <c r="D25" s="9">
        <f t="shared" si="4"/>
        <v>43.425641025641063</v>
      </c>
      <c r="E25" s="9">
        <f t="shared" ca="1" si="5"/>
        <v>66.789743589743608</v>
      </c>
      <c r="F25" s="9">
        <f t="shared" ca="1" si="0"/>
        <v>34.766666666666652</v>
      </c>
      <c r="G25" s="9">
        <f t="shared" ca="1" si="1"/>
        <v>130.46410256410257</v>
      </c>
      <c r="H25" s="62">
        <f ca="1">IF($P$33="enero",'Base cotización por meses'!C70,IF($P$33="febrero",'Base cotización por meses'!D70,IF($P$33="marzo",'Base cotización por meses'!E70,IF($P$33="abril",'Base cotización por meses'!F70,IF($P$33="mayo",'Base cotización por meses'!G70,IF($P$33="junio",'Base cotización por meses'!H70,IF($P$33="julio",'Base cotización por meses'!I70,IF($P$33="agosto",'Base cotización por meses'!J70,IF($P$33="septiembre",'Base cotización por meses'!K70,IF($P$33="octubre",'Base cotización por meses'!L70,IF($P$33="noviembre",'Base cotización por meses'!M70,IF($P$33="diciembre",'Base cotización por meses'!N70,IF($P$33="media",'Base cotización por meses'!H25)))))))))))))*$P$36</f>
        <v>172.40102564102565</v>
      </c>
      <c r="I25" s="62">
        <f ca="1">IF($P$33="enero",'Base cotización por meses'!C70,IF($P$33="febrero",'Base cotización por meses'!D70,IF($P$33="marzo",'Base cotización por meses'!E70,IF($P$33="abril",'Base cotización por meses'!F70,IF($P$33="mayo",'Base cotización por meses'!G70,IF($P$33="junio",'Base cotización por meses'!H70,IF($P$33="julio",'Base cotización por meses'!I70,IF($P$33="agosto",'Base cotización por meses'!J70,IF($P$33="septiembre",'Base cotización por meses'!K70,IF($P$33="octubre",'Base cotización por meses'!L70,IF($P$33="noviembre",'Base cotización por meses'!M70,IF($P$33="diciembre",'Base cotización por meses'!N70,IF($P$33="media",'Base cotización por meses'!H25)))))))))))))*$P$51</f>
        <v>5.4788461538461544</v>
      </c>
      <c r="J25" s="62">
        <f ca="1">IF($P$33="enero",'Base cotización por meses'!C70,IF($P$33="febrero",'Base cotización por meses'!D70,IF($P$33="marzo",'Base cotización por meses'!E70,IF($P$33="abril",'Base cotización por meses'!F70,IF($P$33="mayo",'Base cotización por meses'!G70,IF($P$33="junio",'Base cotización por meses'!H70,IF($P$33="julio",'Base cotización por meses'!I70,IF($P$33="agosto",'Base cotización por meses'!J70,IF($P$33="septiembre",'Base cotización por meses'!K70,IF($P$33="octubre",'Base cotización por meses'!L70,IF($P$33="noviembre",'Base cotización por meses'!M70,IF($P$33="diciembre",'Base cotización por meses'!N70,IF($P$33="media",'Base cotización por meses'!H25)))))))))))))*$P$39</f>
        <v>26.298461538461538</v>
      </c>
      <c r="K25" s="62">
        <f ca="1">IF($P$33="enero",'Base cotización por meses'!C70,IF($P$33="febrero",'Base cotización por meses'!D70,IF($P$33="marzo",'Base cotización por meses'!E70,IF($P$33="abril",'Base cotización por meses'!F70,IF($P$33="mayo",'Base cotización por meses'!G70,IF($P$33="junio",'Base cotización por meses'!H70,IF($P$33="julio",'Base cotización por meses'!I70,IF($P$33="agosto",'Base cotización por meses'!J70,IF($P$33="septiembre",'Base cotización por meses'!K70,IF($P$33="octubre",'Base cotización por meses'!L70,IF($P$33="noviembre",'Base cotización por meses'!M70,IF($P$33="diciembre",'Base cotización por meses'!N70,IF($P$33="media",'Base cotización por meses'!H25)))))))))))))*$P$42</f>
        <v>40.178205128205128</v>
      </c>
      <c r="L25" s="62">
        <f ca="1">IF($P$33="enero",'Base cotización por meses'!C70,IF($P$33="febrero",'Base cotización por meses'!D70,IF($P$33="marzo",'Base cotización por meses'!E70,IF($P$33="abril",'Base cotización por meses'!F70,IF($P$33="mayo",'Base cotización por meses'!G70,IF($P$33="junio",'Base cotización por meses'!H70,IF($P$33="julio",'Base cotización por meses'!I70,IF($P$33="agosto",'Base cotización por meses'!J70,IF($P$33="septiembre",'Base cotización por meses'!K70,IF($P$33="octubre",'Base cotización por meses'!L70,IF($P$33="noviembre",'Base cotización por meses'!M70,IF($P$33="diciembre",'Base cotización por meses'!N70,IF($P$33="media",'Base cotización por meses'!H25)))))))))))))*$P$45</f>
        <v>4.3830769230769233</v>
      </c>
      <c r="M25" s="62">
        <f ca="1">IF($P$33="enero",'Base cotización por meses'!C70,IF($P$33="febrero",'Base cotización por meses'!D70,IF($P$33="marzo",'Base cotización por meses'!E70,IF($P$33="abril",'Base cotización por meses'!F70,IF($P$33="mayo",'Base cotización por meses'!G70,IF($P$33="junio",'Base cotización por meses'!H70,IF($P$33="julio",'Base cotización por meses'!I70,IF($P$33="agosto",'Base cotización por meses'!J70,IF($P$33="septiembre",'Base cotización por meses'!K70,IF($P$33="octubre",'Base cotización por meses'!L70,IF($P$33="noviembre",'Base cotización por meses'!M70,IF($P$33="diciembre",'Base cotización por meses'!N70,IF($P$33="media",'Base cotización por meses'!H25)))))))))))))*$P$48</f>
        <v>1.461025641025641</v>
      </c>
      <c r="N25" s="50">
        <f t="shared" ca="1" si="2"/>
        <v>980.71346153846162</v>
      </c>
      <c r="O25" s="10"/>
      <c r="P25" s="68" t="s">
        <v>66</v>
      </c>
      <c r="Q25" s="67">
        <f ca="1">'Calendario Laboral 2026'!P55</f>
        <v>21</v>
      </c>
    </row>
    <row r="26" spans="2:21">
      <c r="B26" s="3">
        <v>19</v>
      </c>
      <c r="C26" s="9">
        <f t="shared" si="3"/>
        <v>432.31333333333333</v>
      </c>
      <c r="D26" s="9">
        <f t="shared" si="4"/>
        <v>41.254358974359008</v>
      </c>
      <c r="E26" s="9">
        <f t="shared" ca="1" si="5"/>
        <v>63.450256410256422</v>
      </c>
      <c r="F26" s="9">
        <f t="shared" ca="1" si="0"/>
        <v>33.028333333333308</v>
      </c>
      <c r="G26" s="9">
        <f t="shared" ca="1" si="1"/>
        <v>123.94089743589743</v>
      </c>
      <c r="H26" s="62">
        <f ca="1">IF($P$33="enero",'Base cotización por meses'!C71,IF($P$33="febrero",'Base cotización por meses'!D71,IF($P$33="marzo",'Base cotización por meses'!E71,IF($P$33="abril",'Base cotización por meses'!F71,IF($P$33="mayo",'Base cotización por meses'!G71,IF($P$33="junio",'Base cotización por meses'!H71,IF($P$33="julio",'Base cotización por meses'!I71,IF($P$33="agosto",'Base cotización por meses'!J71,IF($P$33="septiembre",'Base cotización por meses'!K71,IF($P$33="octubre",'Base cotización por meses'!L71,IF($P$33="noviembre",'Base cotización por meses'!M71,IF($P$33="diciembre",'Base cotización por meses'!N71,IF($P$33="media",'Base cotización por meses'!H26)))))))))))))*$P$36</f>
        <v>163.78097435897436</v>
      </c>
      <c r="I26" s="62">
        <f ca="1">IF($P$33="enero",'Base cotización por meses'!C71,IF($P$33="febrero",'Base cotización por meses'!D71,IF($P$33="marzo",'Base cotización por meses'!E71,IF($P$33="abril",'Base cotización por meses'!F71,IF($P$33="mayo",'Base cotización por meses'!G71,IF($P$33="junio",'Base cotización por meses'!H71,IF($P$33="julio",'Base cotización por meses'!I71,IF($P$33="agosto",'Base cotización por meses'!J71,IF($P$33="septiembre",'Base cotización por meses'!K71,IF($P$33="octubre",'Base cotización por meses'!L71,IF($P$33="noviembre",'Base cotización por meses'!M71,IF($P$33="diciembre",'Base cotización por meses'!N71,IF($P$33="media",'Base cotización por meses'!H26)))))))))))))*$P$51</f>
        <v>5.2049038461538464</v>
      </c>
      <c r="J26" s="62">
        <f ca="1">IF($P$33="enero",'Base cotización por meses'!C71,IF($P$33="febrero",'Base cotización por meses'!D71,IF($P$33="marzo",'Base cotización por meses'!E71,IF($P$33="abril",'Base cotización por meses'!F71,IF($P$33="mayo",'Base cotización por meses'!G71,IF($P$33="junio",'Base cotización por meses'!H71,IF($P$33="julio",'Base cotización por meses'!I71,IF($P$33="agosto",'Base cotización por meses'!J71,IF($P$33="septiembre",'Base cotización por meses'!K71,IF($P$33="octubre",'Base cotización por meses'!L71,IF($P$33="noviembre",'Base cotización por meses'!M71,IF($P$33="diciembre",'Base cotización por meses'!N71,IF($P$33="media",'Base cotización por meses'!H26)))))))))))))*$P$39</f>
        <v>24.983538461538462</v>
      </c>
      <c r="K26" s="62">
        <f ca="1">IF($P$33="enero",'Base cotización por meses'!C71,IF($P$33="febrero",'Base cotización por meses'!D71,IF($P$33="marzo",'Base cotización por meses'!E71,IF($P$33="abril",'Base cotización por meses'!F71,IF($P$33="mayo",'Base cotización por meses'!G71,IF($P$33="junio",'Base cotización por meses'!H71,IF($P$33="julio",'Base cotización por meses'!I71,IF($P$33="agosto",'Base cotización por meses'!J71,IF($P$33="septiembre",'Base cotización por meses'!K71,IF($P$33="octubre",'Base cotización por meses'!L71,IF($P$33="noviembre",'Base cotización por meses'!M71,IF($P$33="diciembre",'Base cotización por meses'!N71,IF($P$33="media",'Base cotización por meses'!H26)))))))))))))*$P$42</f>
        <v>38.169294871794875</v>
      </c>
      <c r="L26" s="62">
        <f ca="1">IF($P$33="enero",'Base cotización por meses'!C71,IF($P$33="febrero",'Base cotización por meses'!D71,IF($P$33="marzo",'Base cotización por meses'!E71,IF($P$33="abril",'Base cotización por meses'!F71,IF($P$33="mayo",'Base cotización por meses'!G71,IF($P$33="junio",'Base cotización por meses'!H71,IF($P$33="julio",'Base cotización por meses'!I71,IF($P$33="agosto",'Base cotización por meses'!J71,IF($P$33="septiembre",'Base cotización por meses'!K71,IF($P$33="octubre",'Base cotización por meses'!L71,IF($P$33="noviembre",'Base cotización por meses'!M71,IF($P$33="diciembre",'Base cotización por meses'!N71,IF($P$33="media",'Base cotización por meses'!H26)))))))))))))*$P$45</f>
        <v>4.1639230769230773</v>
      </c>
      <c r="M26" s="62">
        <f ca="1">IF($P$33="enero",'Base cotización por meses'!C71,IF($P$33="febrero",'Base cotización por meses'!D71,IF($P$33="marzo",'Base cotización por meses'!E71,IF($P$33="abril",'Base cotización por meses'!F71,IF($P$33="mayo",'Base cotización por meses'!G71,IF($P$33="junio",'Base cotización por meses'!H71,IF($P$33="julio",'Base cotización por meses'!I71,IF($P$33="agosto",'Base cotización por meses'!J71,IF($P$33="septiembre",'Base cotización por meses'!K71,IF($P$33="octubre",'Base cotización por meses'!L71,IF($P$33="noviembre",'Base cotización por meses'!M71,IF($P$33="diciembre",'Base cotización por meses'!N71,IF($P$33="media",'Base cotización por meses'!H26)))))))))))))*$P$48</f>
        <v>1.3879743589743592</v>
      </c>
      <c r="N26" s="50">
        <f t="shared" ca="1" si="2"/>
        <v>931.67778846153851</v>
      </c>
      <c r="O26" s="69"/>
      <c r="P26" s="68" t="s">
        <v>67</v>
      </c>
      <c r="Q26" s="67">
        <f ca="1">'Calendario Laboral 2026'!X55</f>
        <v>21</v>
      </c>
    </row>
    <row r="27" spans="2:21">
      <c r="B27" s="3">
        <v>18</v>
      </c>
      <c r="C27" s="9">
        <f t="shared" si="3"/>
        <v>409.56</v>
      </c>
      <c r="D27" s="9">
        <f t="shared" si="4"/>
        <v>39.083076923076952</v>
      </c>
      <c r="E27" s="9">
        <f t="shared" ca="1" si="5"/>
        <v>60.110769230769236</v>
      </c>
      <c r="F27" s="9">
        <f t="shared" ca="1" si="0"/>
        <v>31.290000000000077</v>
      </c>
      <c r="G27" s="9">
        <f t="shared" ca="1" si="1"/>
        <v>117.41769230769231</v>
      </c>
      <c r="H27" s="62">
        <f ca="1">IF($P$33="enero",'Base cotización por meses'!C72,IF($P$33="febrero",'Base cotización por meses'!D72,IF($P$33="marzo",'Base cotización por meses'!E72,IF($P$33="abril",'Base cotización por meses'!F72,IF($P$33="mayo",'Base cotización por meses'!G72,IF($P$33="junio",'Base cotización por meses'!H72,IF($P$33="julio",'Base cotización por meses'!I72,IF($P$33="agosto",'Base cotización por meses'!J72,IF($P$33="septiembre",'Base cotización por meses'!K72,IF($P$33="octubre",'Base cotización por meses'!L72,IF($P$33="noviembre",'Base cotización por meses'!M72,IF($P$33="diciembre",'Base cotización por meses'!N72,IF($P$33="media",'Base cotización por meses'!H27)))))))))))))*$P$36</f>
        <v>155.1609230769231</v>
      </c>
      <c r="I27" s="62">
        <f ca="1">IF($P$33="enero",'Base cotización por meses'!C72,IF($P$33="febrero",'Base cotización por meses'!D72,IF($P$33="marzo",'Base cotización por meses'!E72,IF($P$33="abril",'Base cotización por meses'!F72,IF($P$33="mayo",'Base cotización por meses'!G72,IF($P$33="junio",'Base cotización por meses'!H72,IF($P$33="julio",'Base cotización por meses'!I72,IF($P$33="agosto",'Base cotización por meses'!J72,IF($P$33="septiembre",'Base cotización por meses'!K72,IF($P$33="octubre",'Base cotización por meses'!L72,IF($P$33="noviembre",'Base cotización por meses'!M72,IF($P$33="diciembre",'Base cotización por meses'!N72,IF($P$33="media",'Base cotización por meses'!H27)))))))))))))*$P$51</f>
        <v>4.9309615384615393</v>
      </c>
      <c r="J27" s="62">
        <f ca="1">IF($P$33="enero",'Base cotización por meses'!C72,IF($P$33="febrero",'Base cotización por meses'!D72,IF($P$33="marzo",'Base cotización por meses'!E72,IF($P$33="abril",'Base cotización por meses'!F72,IF($P$33="mayo",'Base cotización por meses'!G72,IF($P$33="junio",'Base cotización por meses'!H72,IF($P$33="julio",'Base cotización por meses'!I72,IF($P$33="agosto",'Base cotización por meses'!J72,IF($P$33="septiembre",'Base cotización por meses'!K72,IF($P$33="octubre",'Base cotización por meses'!L72,IF($P$33="noviembre",'Base cotización por meses'!M72,IF($P$33="diciembre",'Base cotización por meses'!N72,IF($P$33="media",'Base cotización por meses'!H27)))))))))))))*$P$39</f>
        <v>23.668615384615386</v>
      </c>
      <c r="K27" s="62">
        <f ca="1">IF($P$33="enero",'Base cotización por meses'!C72,IF($P$33="febrero",'Base cotización por meses'!D72,IF($P$33="marzo",'Base cotización por meses'!E72,IF($P$33="abril",'Base cotización por meses'!F72,IF($P$33="mayo",'Base cotización por meses'!G72,IF($P$33="junio",'Base cotización por meses'!H72,IF($P$33="julio",'Base cotización por meses'!I72,IF($P$33="agosto",'Base cotización por meses'!J72,IF($P$33="septiembre",'Base cotización por meses'!K72,IF($P$33="octubre",'Base cotización por meses'!L72,IF($P$33="noviembre",'Base cotización por meses'!M72,IF($P$33="diciembre",'Base cotización por meses'!N72,IF($P$33="media",'Base cotización por meses'!H27)))))))))))))*$P$42</f>
        <v>36.160384615384622</v>
      </c>
      <c r="L27" s="62">
        <f ca="1">IF($P$33="enero",'Base cotización por meses'!C72,IF($P$33="febrero",'Base cotización por meses'!D72,IF($P$33="marzo",'Base cotización por meses'!E72,IF($P$33="abril",'Base cotización por meses'!F72,IF($P$33="mayo",'Base cotización por meses'!G72,IF($P$33="junio",'Base cotización por meses'!H72,IF($P$33="julio",'Base cotización por meses'!I72,IF($P$33="agosto",'Base cotización por meses'!J72,IF($P$33="septiembre",'Base cotización por meses'!K72,IF($P$33="octubre",'Base cotización por meses'!L72,IF($P$33="noviembre",'Base cotización por meses'!M72,IF($P$33="diciembre",'Base cotización por meses'!N72,IF($P$33="media",'Base cotización por meses'!H27)))))))))))))*$P$45</f>
        <v>3.9447692307692317</v>
      </c>
      <c r="M27" s="62">
        <f ca="1">IF($P$33="enero",'Base cotización por meses'!C72,IF($P$33="febrero",'Base cotización por meses'!D72,IF($P$33="marzo",'Base cotización por meses'!E72,IF($P$33="abril",'Base cotización por meses'!F72,IF($P$33="mayo",'Base cotización por meses'!G72,IF($P$33="junio",'Base cotización por meses'!H72,IF($P$33="julio",'Base cotización por meses'!I72,IF($P$33="agosto",'Base cotización por meses'!J72,IF($P$33="septiembre",'Base cotización por meses'!K72,IF($P$33="octubre",'Base cotización por meses'!L72,IF($P$33="noviembre",'Base cotización por meses'!M72,IF($P$33="diciembre",'Base cotización por meses'!N72,IF($P$33="media",'Base cotización por meses'!H27)))))))))))))*$P$48</f>
        <v>1.3149230769230771</v>
      </c>
      <c r="N27" s="50">
        <f t="shared" ca="1" si="2"/>
        <v>882.64211538461552</v>
      </c>
      <c r="O27" s="69"/>
      <c r="R27" s="10"/>
    </row>
    <row r="28" spans="2:21" ht="16" customHeight="1" thickBot="1">
      <c r="B28" s="3">
        <v>17</v>
      </c>
      <c r="C28" s="9">
        <f t="shared" si="3"/>
        <v>386.80666666666667</v>
      </c>
      <c r="D28" s="9">
        <f t="shared" si="4"/>
        <v>36.911794871794896</v>
      </c>
      <c r="E28" s="9">
        <f t="shared" ca="1" si="5"/>
        <v>56.771282051282057</v>
      </c>
      <c r="F28" s="9">
        <f t="shared" ca="1" si="0"/>
        <v>29.55166666666662</v>
      </c>
      <c r="G28" s="9">
        <f t="shared" ca="1" si="1"/>
        <v>110.89448717948717</v>
      </c>
      <c r="H28" s="62">
        <f ca="1">IF($P$33="enero",'Base cotización por meses'!C73,IF($P$33="febrero",'Base cotización por meses'!D73,IF($P$33="marzo",'Base cotización por meses'!E73,IF($P$33="abril",'Base cotización por meses'!F73,IF($P$33="mayo",'Base cotización por meses'!G73,IF($P$33="junio",'Base cotización por meses'!H73,IF($P$33="julio",'Base cotización por meses'!I73,IF($P$33="agosto",'Base cotización por meses'!J73,IF($P$33="septiembre",'Base cotización por meses'!K73,IF($P$33="octubre",'Base cotización por meses'!L73,IF($P$33="noviembre",'Base cotización por meses'!M73,IF($P$33="diciembre",'Base cotización por meses'!N73,IF($P$33="media",'Base cotización por meses'!H28)))))))))))))*$P$36</f>
        <v>146.5408717948718</v>
      </c>
      <c r="I28" s="62">
        <f ca="1">IF($P$33="enero",'Base cotización por meses'!C73,IF($P$33="febrero",'Base cotización por meses'!D73,IF($P$33="marzo",'Base cotización por meses'!E73,IF($P$33="abril",'Base cotización por meses'!F73,IF($P$33="mayo",'Base cotización por meses'!G73,IF($P$33="junio",'Base cotización por meses'!H73,IF($P$33="julio",'Base cotización por meses'!I73,IF($P$33="agosto",'Base cotización por meses'!J73,IF($P$33="septiembre",'Base cotización por meses'!K73,IF($P$33="octubre",'Base cotización por meses'!L73,IF($P$33="noviembre",'Base cotización por meses'!M73,IF($P$33="diciembre",'Base cotización por meses'!N73,IF($P$33="media",'Base cotización por meses'!H28)))))))))))))*$P$51</f>
        <v>4.6570192307692304</v>
      </c>
      <c r="J28" s="62">
        <f ca="1">IF($P$33="enero",'Base cotización por meses'!C73,IF($P$33="febrero",'Base cotización por meses'!D73,IF($P$33="marzo",'Base cotización por meses'!E73,IF($P$33="abril",'Base cotización por meses'!F73,IF($P$33="mayo",'Base cotización por meses'!G73,IF($P$33="junio",'Base cotización por meses'!H73,IF($P$33="julio",'Base cotización por meses'!I73,IF($P$33="agosto",'Base cotización por meses'!J73,IF($P$33="septiembre",'Base cotización por meses'!K73,IF($P$33="octubre",'Base cotización por meses'!L73,IF($P$33="noviembre",'Base cotización por meses'!M73,IF($P$33="diciembre",'Base cotización por meses'!N73,IF($P$33="media",'Base cotización por meses'!H28)))))))))))))*$P$39</f>
        <v>22.353692307692306</v>
      </c>
      <c r="K28" s="62">
        <f ca="1">IF($P$33="enero",'Base cotización por meses'!C73,IF($P$33="febrero",'Base cotización por meses'!D73,IF($P$33="marzo",'Base cotización por meses'!E73,IF($P$33="abril",'Base cotización por meses'!F73,IF($P$33="mayo",'Base cotización por meses'!G73,IF($P$33="junio",'Base cotización por meses'!H73,IF($P$33="julio",'Base cotización por meses'!I73,IF($P$33="agosto",'Base cotización por meses'!J73,IF($P$33="septiembre",'Base cotización por meses'!K73,IF($P$33="octubre",'Base cotización por meses'!L73,IF($P$33="noviembre",'Base cotización por meses'!M73,IF($P$33="diciembre",'Base cotización por meses'!N73,IF($P$33="media",'Base cotización por meses'!H28)))))))))))))*$P$42</f>
        <v>34.151474358974362</v>
      </c>
      <c r="L28" s="62">
        <f ca="1">IF($P$33="enero",'Base cotización por meses'!C73,IF($P$33="febrero",'Base cotización por meses'!D73,IF($P$33="marzo",'Base cotización por meses'!E73,IF($P$33="abril",'Base cotización por meses'!F73,IF($P$33="mayo",'Base cotización por meses'!G73,IF($P$33="junio",'Base cotización por meses'!H73,IF($P$33="julio",'Base cotización por meses'!I73,IF($P$33="agosto",'Base cotización por meses'!J73,IF($P$33="septiembre",'Base cotización por meses'!K73,IF($P$33="octubre",'Base cotización por meses'!L73,IF($P$33="noviembre",'Base cotización por meses'!M73,IF($P$33="diciembre",'Base cotización por meses'!N73,IF($P$33="media",'Base cotización por meses'!H28)))))))))))))*$P$45</f>
        <v>3.7256153846153848</v>
      </c>
      <c r="M28" s="62">
        <f ca="1">IF($P$33="enero",'Base cotización por meses'!C73,IF($P$33="febrero",'Base cotización por meses'!D73,IF($P$33="marzo",'Base cotización por meses'!E73,IF($P$33="abril",'Base cotización por meses'!F73,IF($P$33="mayo",'Base cotización por meses'!G73,IF($P$33="junio",'Base cotización por meses'!H73,IF($P$33="julio",'Base cotización por meses'!I73,IF($P$33="agosto",'Base cotización por meses'!J73,IF($P$33="septiembre",'Base cotización por meses'!K73,IF($P$33="octubre",'Base cotización por meses'!L73,IF($P$33="noviembre",'Base cotización por meses'!M73,IF($P$33="diciembre",'Base cotización por meses'!N73,IF($P$33="media",'Base cotización por meses'!H28)))))))))))))*$P$48</f>
        <v>1.241871794871795</v>
      </c>
      <c r="N28" s="50">
        <f t="shared" ca="1" si="2"/>
        <v>833.60644230769242</v>
      </c>
      <c r="O28" s="71"/>
    </row>
    <row r="29" spans="2:21" ht="16" customHeight="1" thickBot="1">
      <c r="B29" s="3">
        <v>16</v>
      </c>
      <c r="C29" s="9">
        <f t="shared" si="3"/>
        <v>364.05333333333334</v>
      </c>
      <c r="D29" s="9">
        <f t="shared" si="4"/>
        <v>34.740512820512841</v>
      </c>
      <c r="E29" s="9">
        <f t="shared" ca="1" si="5"/>
        <v>53.431794871794878</v>
      </c>
      <c r="F29" s="9">
        <f t="shared" ca="1" si="0"/>
        <v>27.813333333333389</v>
      </c>
      <c r="G29" s="9">
        <f t="shared" ca="1" si="1"/>
        <v>104.37128205128205</v>
      </c>
      <c r="H29" s="62">
        <f ca="1">IF($P$33="enero",'Base cotización por meses'!C74,IF($P$33="febrero",'Base cotización por meses'!D74,IF($P$33="marzo",'Base cotización por meses'!E74,IF($P$33="abril",'Base cotización por meses'!F74,IF($P$33="mayo",'Base cotización por meses'!G74,IF($P$33="junio",'Base cotización por meses'!H74,IF($P$33="julio",'Base cotización por meses'!I74,IF($P$33="agosto",'Base cotización por meses'!J74,IF($P$33="septiembre",'Base cotización por meses'!K74,IF($P$33="octubre",'Base cotización por meses'!L74,IF($P$33="noviembre",'Base cotización por meses'!M74,IF($P$33="diciembre",'Base cotización por meses'!N74,IF($P$33="media",'Base cotización por meses'!H29)))))))))))))*$P$36</f>
        <v>137.92082051282051</v>
      </c>
      <c r="I29" s="62">
        <f ca="1">IF($P$33="enero",'Base cotización por meses'!C74,IF($P$33="febrero",'Base cotización por meses'!D74,IF($P$33="marzo",'Base cotización por meses'!E74,IF($P$33="abril",'Base cotización por meses'!F74,IF($P$33="mayo",'Base cotización por meses'!G74,IF($P$33="junio",'Base cotización por meses'!H74,IF($P$33="julio",'Base cotización por meses'!I74,IF($P$33="agosto",'Base cotización por meses'!J74,IF($P$33="septiembre",'Base cotización por meses'!K74,IF($P$33="octubre",'Base cotización por meses'!L74,IF($P$33="noviembre",'Base cotización por meses'!M74,IF($P$33="diciembre",'Base cotización por meses'!N74,IF($P$33="media",'Base cotización por meses'!H29)))))))))))))*$P$51</f>
        <v>4.3830769230769233</v>
      </c>
      <c r="J29" s="62">
        <f ca="1">IF($P$33="enero",'Base cotización por meses'!C74,IF($P$33="febrero",'Base cotización por meses'!D74,IF($P$33="marzo",'Base cotización por meses'!E74,IF($P$33="abril",'Base cotización por meses'!F74,IF($P$33="mayo",'Base cotización por meses'!G74,IF($P$33="junio",'Base cotización por meses'!H74,IF($P$33="julio",'Base cotización por meses'!I74,IF($P$33="agosto",'Base cotización por meses'!J74,IF($P$33="septiembre",'Base cotización por meses'!K74,IF($P$33="octubre",'Base cotización por meses'!L74,IF($P$33="noviembre",'Base cotización por meses'!M74,IF($P$33="diciembre",'Base cotización por meses'!N74,IF($P$33="media",'Base cotización por meses'!H29)))))))))))))*$P$39</f>
        <v>21.03876923076923</v>
      </c>
      <c r="K29" s="62">
        <f ca="1">IF($P$33="enero",'Base cotización por meses'!C74,IF($P$33="febrero",'Base cotización por meses'!D74,IF($P$33="marzo",'Base cotización por meses'!E74,IF($P$33="abril",'Base cotización por meses'!F74,IF($P$33="mayo",'Base cotización por meses'!G74,IF($P$33="junio",'Base cotización por meses'!H74,IF($P$33="julio",'Base cotización por meses'!I74,IF($P$33="agosto",'Base cotización por meses'!J74,IF($P$33="septiembre",'Base cotización por meses'!K74,IF($P$33="octubre",'Base cotización por meses'!L74,IF($P$33="noviembre",'Base cotización por meses'!M74,IF($P$33="diciembre",'Base cotización por meses'!N74,IF($P$33="media",'Base cotización por meses'!H29)))))))))))))*$P$42</f>
        <v>32.142564102564108</v>
      </c>
      <c r="L29" s="62">
        <f ca="1">IF($P$33="enero",'Base cotización por meses'!C74,IF($P$33="febrero",'Base cotización por meses'!D74,IF($P$33="marzo",'Base cotización por meses'!E74,IF($P$33="abril",'Base cotización por meses'!F74,IF($P$33="mayo",'Base cotización por meses'!G74,IF($P$33="junio",'Base cotización por meses'!H74,IF($P$33="julio",'Base cotización por meses'!I74,IF($P$33="agosto",'Base cotización por meses'!J74,IF($P$33="septiembre",'Base cotización por meses'!K74,IF($P$33="octubre",'Base cotización por meses'!L74,IF($P$33="noviembre",'Base cotización por meses'!M74,IF($P$33="diciembre",'Base cotización por meses'!N74,IF($P$33="media",'Base cotización por meses'!H29)))))))))))))*$P$45</f>
        <v>3.5064615384615387</v>
      </c>
      <c r="M29" s="62">
        <f ca="1">IF($P$33="enero",'Base cotización por meses'!C74,IF($P$33="febrero",'Base cotización por meses'!D74,IF($P$33="marzo",'Base cotización por meses'!E74,IF($P$33="abril",'Base cotización por meses'!F74,IF($P$33="mayo",'Base cotización por meses'!G74,IF($P$33="junio",'Base cotización por meses'!H74,IF($P$33="julio",'Base cotización por meses'!I74,IF($P$33="agosto",'Base cotización por meses'!J74,IF($P$33="septiembre",'Base cotización por meses'!K74,IF($P$33="octubre",'Base cotización por meses'!L74,IF($P$33="noviembre",'Base cotización por meses'!M74,IF($P$33="diciembre",'Base cotización por meses'!N74,IF($P$33="media",'Base cotización por meses'!H29)))))))))))))*$P$48</f>
        <v>1.1688205128205129</v>
      </c>
      <c r="N29" s="50">
        <f t="shared" ca="1" si="2"/>
        <v>784.57076923076943</v>
      </c>
      <c r="O29" s="69"/>
      <c r="P29" s="190" t="s">
        <v>68</v>
      </c>
      <c r="Q29" s="165"/>
      <c r="R29" s="185"/>
    </row>
    <row r="30" spans="2:21">
      <c r="B30" s="3">
        <v>15</v>
      </c>
      <c r="C30" s="9">
        <f t="shared" si="3"/>
        <v>341.3</v>
      </c>
      <c r="D30" s="9">
        <f t="shared" si="4"/>
        <v>32.569230769230785</v>
      </c>
      <c r="E30" s="9">
        <f t="shared" ca="1" si="5"/>
        <v>50.092307692307699</v>
      </c>
      <c r="F30" s="9">
        <f t="shared" ca="1" si="0"/>
        <v>26.075000000000045</v>
      </c>
      <c r="G30" s="9">
        <f t="shared" ca="1" si="1"/>
        <v>97.848076923076931</v>
      </c>
      <c r="H30" s="62">
        <f ca="1">IF($P$33="enero",'Base cotización por meses'!C75,IF($P$33="febrero",'Base cotización por meses'!D75,IF($P$33="marzo",'Base cotización por meses'!E75,IF($P$33="abril",'Base cotización por meses'!F75,IF($P$33="mayo",'Base cotización por meses'!G75,IF($P$33="junio",'Base cotización por meses'!H75,IF($P$33="julio",'Base cotización por meses'!I75,IF($P$33="agosto",'Base cotización por meses'!J75,IF($P$33="septiembre",'Base cotización por meses'!K75,IF($P$33="octubre",'Base cotización por meses'!L75,IF($P$33="noviembre",'Base cotización por meses'!M75,IF($P$33="diciembre",'Base cotización por meses'!N75,IF($P$33="media",'Base cotización por meses'!H30)))))))))))))*$P$36</f>
        <v>129.30076923076925</v>
      </c>
      <c r="I30" s="62">
        <f ca="1">IF($P$33="enero",'Base cotización por meses'!C75,IF($P$33="febrero",'Base cotización por meses'!D75,IF($P$33="marzo",'Base cotización por meses'!E75,IF($P$33="abril",'Base cotización por meses'!F75,IF($P$33="mayo",'Base cotización por meses'!G75,IF($P$33="junio",'Base cotización por meses'!H75,IF($P$33="julio",'Base cotización por meses'!I75,IF($P$33="agosto",'Base cotización por meses'!J75,IF($P$33="septiembre",'Base cotización por meses'!K75,IF($P$33="octubre",'Base cotización por meses'!L75,IF($P$33="noviembre",'Base cotización por meses'!M75,IF($P$33="diciembre",'Base cotización por meses'!N75,IF($P$33="media",'Base cotización por meses'!H30)))))))))))))*$P$51</f>
        <v>4.1091346153846162</v>
      </c>
      <c r="J30" s="62">
        <f ca="1">IF($P$33="enero",'Base cotización por meses'!C75,IF($P$33="febrero",'Base cotización por meses'!D75,IF($P$33="marzo",'Base cotización por meses'!E75,IF($P$33="abril",'Base cotización por meses'!F75,IF($P$33="mayo",'Base cotización por meses'!G75,IF($P$33="junio",'Base cotización por meses'!H75,IF($P$33="julio",'Base cotización por meses'!I75,IF($P$33="agosto",'Base cotización por meses'!J75,IF($P$33="septiembre",'Base cotización por meses'!K75,IF($P$33="octubre",'Base cotización por meses'!L75,IF($P$33="noviembre",'Base cotización por meses'!M75,IF($P$33="diciembre",'Base cotización por meses'!N75,IF($P$33="media",'Base cotización por meses'!H30)))))))))))))*$P$39</f>
        <v>19.723846153846157</v>
      </c>
      <c r="K30" s="62">
        <f ca="1">IF($P$33="enero",'Base cotización por meses'!C75,IF($P$33="febrero",'Base cotización por meses'!D75,IF($P$33="marzo",'Base cotización por meses'!E75,IF($P$33="abril",'Base cotización por meses'!F75,IF($P$33="mayo",'Base cotización por meses'!G75,IF($P$33="junio",'Base cotización por meses'!H75,IF($P$33="julio",'Base cotización por meses'!I75,IF($P$33="agosto",'Base cotización por meses'!J75,IF($P$33="septiembre",'Base cotización por meses'!K75,IF($P$33="octubre",'Base cotización por meses'!L75,IF($P$33="noviembre",'Base cotización por meses'!M75,IF($P$33="diciembre",'Base cotización por meses'!N75,IF($P$33="media",'Base cotización por meses'!H30)))))))))))))*$P$42</f>
        <v>30.133653846153852</v>
      </c>
      <c r="L30" s="62">
        <f ca="1">IF($P$33="enero",'Base cotización por meses'!C75,IF($P$33="febrero",'Base cotización por meses'!D75,IF($P$33="marzo",'Base cotización por meses'!E75,IF($P$33="abril",'Base cotización por meses'!F75,IF($P$33="mayo",'Base cotización por meses'!G75,IF($P$33="junio",'Base cotización por meses'!H75,IF($P$33="julio",'Base cotización por meses'!I75,IF($P$33="agosto",'Base cotización por meses'!J75,IF($P$33="septiembre",'Base cotización por meses'!K75,IF($P$33="octubre",'Base cotización por meses'!L75,IF($P$33="noviembre",'Base cotización por meses'!M75,IF($P$33="diciembre",'Base cotización por meses'!N75,IF($P$33="media",'Base cotización por meses'!H30)))))))))))))*$P$45</f>
        <v>3.2873076923076927</v>
      </c>
      <c r="M30" s="62">
        <f ca="1">IF($P$33="enero",'Base cotización por meses'!C75,IF($P$33="febrero",'Base cotización por meses'!D75,IF($P$33="marzo",'Base cotización por meses'!E75,IF($P$33="abril",'Base cotización por meses'!F75,IF($P$33="mayo",'Base cotización por meses'!G75,IF($P$33="junio",'Base cotización por meses'!H75,IF($P$33="julio",'Base cotización por meses'!I75,IF($P$33="agosto",'Base cotización por meses'!J75,IF($P$33="septiembre",'Base cotización por meses'!K75,IF($P$33="octubre",'Base cotización por meses'!L75,IF($P$33="noviembre",'Base cotización por meses'!M75,IF($P$33="diciembre",'Base cotización por meses'!N75,IF($P$33="media",'Base cotización por meses'!H30)))))))))))))*$P$48</f>
        <v>1.0957692307692311</v>
      </c>
      <c r="N30" s="50">
        <f t="shared" ca="1" si="2"/>
        <v>735.5350961538461</v>
      </c>
      <c r="O30" s="69"/>
      <c r="P30" s="196">
        <v>8.32</v>
      </c>
      <c r="Q30" s="194"/>
      <c r="R30" s="195"/>
      <c r="S30" s="89"/>
    </row>
    <row r="31" spans="2:21" ht="16" customHeight="1" thickBot="1">
      <c r="B31" s="3">
        <v>14</v>
      </c>
      <c r="C31" s="9">
        <f t="shared" si="3"/>
        <v>318.54666666666668</v>
      </c>
      <c r="D31" s="9">
        <f t="shared" si="4"/>
        <v>30.397948717948733</v>
      </c>
      <c r="E31" s="9">
        <f t="shared" ca="1" si="5"/>
        <v>46.75282051282052</v>
      </c>
      <c r="F31" s="9">
        <f t="shared" ca="1" si="0"/>
        <v>24.336666666666702</v>
      </c>
      <c r="G31" s="9">
        <f t="shared" ca="1" si="1"/>
        <v>91.324871794871797</v>
      </c>
      <c r="H31" s="62">
        <f ca="1">IF($P$33="enero",'Base cotización por meses'!C76,IF($P$33="febrero",'Base cotización por meses'!D76,IF($P$33="marzo",'Base cotización por meses'!E76,IF($P$33="abril",'Base cotización por meses'!F76,IF($P$33="mayo",'Base cotización por meses'!G76,IF($P$33="junio",'Base cotización por meses'!H76,IF($P$33="julio",'Base cotización por meses'!I76,IF($P$33="agosto",'Base cotización por meses'!J76,IF($P$33="septiembre",'Base cotización por meses'!K76,IF($P$33="octubre",'Base cotización por meses'!L76,IF($P$33="noviembre",'Base cotización por meses'!M76,IF($P$33="diciembre",'Base cotización por meses'!N76,IF($P$33="media",'Base cotización por meses'!H31)))))))))))))*$P$36</f>
        <v>120.68071794871796</v>
      </c>
      <c r="I31" s="62">
        <f ca="1">IF($P$33="enero",'Base cotización por meses'!C76,IF($P$33="febrero",'Base cotización por meses'!D76,IF($P$33="marzo",'Base cotización por meses'!E76,IF($P$33="abril",'Base cotización por meses'!F76,IF($P$33="mayo",'Base cotización por meses'!G76,IF($P$33="junio",'Base cotización por meses'!H76,IF($P$33="julio",'Base cotización por meses'!I76,IF($P$33="agosto",'Base cotización por meses'!J76,IF($P$33="septiembre",'Base cotización por meses'!K76,IF($P$33="octubre",'Base cotización por meses'!L76,IF($P$33="noviembre",'Base cotización por meses'!M76,IF($P$33="diciembre",'Base cotización por meses'!N76,IF($P$33="media",'Base cotización por meses'!H31)))))))))))))*$P$51</f>
        <v>3.8351923076923082</v>
      </c>
      <c r="J31" s="62">
        <f ca="1">IF($P$33="enero",'Base cotización por meses'!C76,IF($P$33="febrero",'Base cotización por meses'!D76,IF($P$33="marzo",'Base cotización por meses'!E76,IF($P$33="abril",'Base cotización por meses'!F76,IF($P$33="mayo",'Base cotización por meses'!G76,IF($P$33="junio",'Base cotización por meses'!H76,IF($P$33="julio",'Base cotización por meses'!I76,IF($P$33="agosto",'Base cotización por meses'!J76,IF($P$33="septiembre",'Base cotización por meses'!K76,IF($P$33="octubre",'Base cotización por meses'!L76,IF($P$33="noviembre",'Base cotización por meses'!M76,IF($P$33="diciembre",'Base cotización por meses'!N76,IF($P$33="media",'Base cotización por meses'!H31)))))))))))))*$P$39</f>
        <v>18.408923076923077</v>
      </c>
      <c r="K31" s="62">
        <f ca="1">IF($P$33="enero",'Base cotización por meses'!C76,IF($P$33="febrero",'Base cotización por meses'!D76,IF($P$33="marzo",'Base cotización por meses'!E76,IF($P$33="abril",'Base cotización por meses'!F76,IF($P$33="mayo",'Base cotización por meses'!G76,IF($P$33="junio",'Base cotización por meses'!H76,IF($P$33="julio",'Base cotización por meses'!I76,IF($P$33="agosto",'Base cotización por meses'!J76,IF($P$33="septiembre",'Base cotización por meses'!K76,IF($P$33="octubre",'Base cotización por meses'!L76,IF($P$33="noviembre",'Base cotización por meses'!M76,IF($P$33="diciembre",'Base cotización por meses'!N76,IF($P$33="media",'Base cotización por meses'!H31)))))))))))))*$P$42</f>
        <v>28.124743589743595</v>
      </c>
      <c r="L31" s="62">
        <f ca="1">IF($P$33="enero",'Base cotización por meses'!C76,IF($P$33="febrero",'Base cotización por meses'!D76,IF($P$33="marzo",'Base cotización por meses'!E76,IF($P$33="abril",'Base cotización por meses'!F76,IF($P$33="mayo",'Base cotización por meses'!G76,IF($P$33="junio",'Base cotización por meses'!H76,IF($P$33="julio",'Base cotización por meses'!I76,IF($P$33="agosto",'Base cotización por meses'!J76,IF($P$33="septiembre",'Base cotización por meses'!K76,IF($P$33="octubre",'Base cotización por meses'!L76,IF($P$33="noviembre",'Base cotización por meses'!M76,IF($P$33="diciembre",'Base cotización por meses'!N76,IF($P$33="media",'Base cotización por meses'!H31)))))))))))))*$P$45</f>
        <v>3.0681538461538467</v>
      </c>
      <c r="M31" s="62">
        <f ca="1">IF($P$33="enero",'Base cotización por meses'!C76,IF($P$33="febrero",'Base cotización por meses'!D76,IF($P$33="marzo",'Base cotización por meses'!E76,IF($P$33="abril",'Base cotización por meses'!F76,IF($P$33="mayo",'Base cotización por meses'!G76,IF($P$33="junio",'Base cotización por meses'!H76,IF($P$33="julio",'Base cotización por meses'!I76,IF($P$33="agosto",'Base cotización por meses'!J76,IF($P$33="septiembre",'Base cotización por meses'!K76,IF($P$33="octubre",'Base cotización por meses'!L76,IF($P$33="noviembre",'Base cotización por meses'!M76,IF($P$33="diciembre",'Base cotización por meses'!N76,IF($P$33="media",'Base cotización por meses'!H31)))))))))))))*$P$48</f>
        <v>1.022717948717949</v>
      </c>
      <c r="N31" s="50">
        <f t="shared" ca="1" si="2"/>
        <v>686.49942307692311</v>
      </c>
      <c r="O31" s="10"/>
    </row>
    <row r="32" spans="2:21" ht="16" customHeight="1" thickBot="1">
      <c r="B32" s="3">
        <v>13</v>
      </c>
      <c r="C32" s="9">
        <f t="shared" si="3"/>
        <v>295.79333333333335</v>
      </c>
      <c r="D32" s="9">
        <f t="shared" si="4"/>
        <v>28.226666666666681</v>
      </c>
      <c r="E32" s="9">
        <f t="shared" ca="1" si="5"/>
        <v>43.413333333333341</v>
      </c>
      <c r="F32" s="9">
        <f t="shared" ca="1" si="0"/>
        <v>22.598333333333301</v>
      </c>
      <c r="G32" s="9">
        <f t="shared" ca="1" si="1"/>
        <v>84.801666666666677</v>
      </c>
      <c r="H32" s="62">
        <f ca="1">IF($P$33="enero",'Base cotización por meses'!C77,IF($P$33="febrero",'Base cotización por meses'!D77,IF($P$33="marzo",'Base cotización por meses'!E77,IF($P$33="abril",'Base cotización por meses'!F77,IF($P$33="mayo",'Base cotización por meses'!G77,IF($P$33="junio",'Base cotización por meses'!H77,IF($P$33="julio",'Base cotización por meses'!I77,IF($P$33="agosto",'Base cotización por meses'!J77,IF($P$33="septiembre",'Base cotización por meses'!K77,IF($P$33="octubre",'Base cotización por meses'!L77,IF($P$33="noviembre",'Base cotización por meses'!M77,IF($P$33="diciembre",'Base cotización por meses'!N77,IF($P$33="media",'Base cotización por meses'!H32)))))))))))))*$P$36</f>
        <v>112.06066666666666</v>
      </c>
      <c r="I32" s="62">
        <f ca="1">IF($P$33="enero",'Base cotización por meses'!C77,IF($P$33="febrero",'Base cotización por meses'!D77,IF($P$33="marzo",'Base cotización por meses'!E77,IF($P$33="abril",'Base cotización por meses'!F77,IF($P$33="mayo",'Base cotización por meses'!G77,IF($P$33="junio",'Base cotización por meses'!H77,IF($P$33="julio",'Base cotización por meses'!I77,IF($P$33="agosto",'Base cotización por meses'!J77,IF($P$33="septiembre",'Base cotización por meses'!K77,IF($P$33="octubre",'Base cotización por meses'!L77,IF($P$33="noviembre",'Base cotización por meses'!M77,IF($P$33="diciembre",'Base cotización por meses'!N77,IF($P$33="media",'Base cotización por meses'!H32)))))))))))))*$P$51</f>
        <v>3.5612500000000002</v>
      </c>
      <c r="J32" s="62">
        <f ca="1">IF($P$33="enero",'Base cotización por meses'!C77,IF($P$33="febrero",'Base cotización por meses'!D77,IF($P$33="marzo",'Base cotización por meses'!E77,IF($P$33="abril",'Base cotización por meses'!F77,IF($P$33="mayo",'Base cotización por meses'!G77,IF($P$33="junio",'Base cotización por meses'!H77,IF($P$33="julio",'Base cotización por meses'!I77,IF($P$33="agosto",'Base cotización por meses'!J77,IF($P$33="septiembre",'Base cotización por meses'!K77,IF($P$33="octubre",'Base cotización por meses'!L77,IF($P$33="noviembre",'Base cotización por meses'!M77,IF($P$33="diciembre",'Base cotización por meses'!N77,IF($P$33="media",'Base cotización por meses'!H32)))))))))))))*$P$39</f>
        <v>17.094000000000001</v>
      </c>
      <c r="K32" s="62">
        <f ca="1">IF($P$33="enero",'Base cotización por meses'!C77,IF($P$33="febrero",'Base cotización por meses'!D77,IF($P$33="marzo",'Base cotización por meses'!E77,IF($P$33="abril",'Base cotización por meses'!F77,IF($P$33="mayo",'Base cotización por meses'!G77,IF($P$33="junio",'Base cotización por meses'!H77,IF($P$33="julio",'Base cotización por meses'!I77,IF($P$33="agosto",'Base cotización por meses'!J77,IF($P$33="septiembre",'Base cotización por meses'!K77,IF($P$33="octubre",'Base cotización por meses'!L77,IF($P$33="noviembre",'Base cotización por meses'!M77,IF($P$33="diciembre",'Base cotización por meses'!N77,IF($P$33="media",'Base cotización por meses'!H32)))))))))))))*$P$42</f>
        <v>26.115833333333335</v>
      </c>
      <c r="L32" s="62">
        <f ca="1">IF($P$33="enero",'Base cotización por meses'!C77,IF($P$33="febrero",'Base cotización por meses'!D77,IF($P$33="marzo",'Base cotización por meses'!E77,IF($P$33="abril",'Base cotización por meses'!F77,IF($P$33="mayo",'Base cotización por meses'!G77,IF($P$33="junio",'Base cotización por meses'!H77,IF($P$33="julio",'Base cotización por meses'!I77,IF($P$33="agosto",'Base cotización por meses'!J77,IF($P$33="septiembre",'Base cotización por meses'!K77,IF($P$33="octubre",'Base cotización por meses'!L77,IF($P$33="noviembre",'Base cotización por meses'!M77,IF($P$33="diciembre",'Base cotización por meses'!N77,IF($P$33="media",'Base cotización por meses'!H32)))))))))))))*$P$45</f>
        <v>2.8490000000000002</v>
      </c>
      <c r="M32" s="62">
        <f ca="1">IF($P$33="enero",'Base cotización por meses'!C77,IF($P$33="febrero",'Base cotización por meses'!D77,IF($P$33="marzo",'Base cotización por meses'!E77,IF($P$33="abril",'Base cotización por meses'!F77,IF($P$33="mayo",'Base cotización por meses'!G77,IF($P$33="junio",'Base cotización por meses'!H77,IF($P$33="julio",'Base cotización por meses'!I77,IF($P$33="agosto",'Base cotización por meses'!J77,IF($P$33="septiembre",'Base cotización por meses'!K77,IF($P$33="octubre",'Base cotización por meses'!L77,IF($P$33="noviembre",'Base cotización por meses'!M77,IF($P$33="diciembre",'Base cotización por meses'!N77,IF($P$33="media",'Base cotización por meses'!H32)))))))))))))*$P$48</f>
        <v>0.94966666666666677</v>
      </c>
      <c r="N32" s="50">
        <f t="shared" ca="1" si="2"/>
        <v>637.46375</v>
      </c>
      <c r="O32" s="10"/>
      <c r="P32" s="190" t="s">
        <v>13</v>
      </c>
      <c r="Q32" s="165"/>
      <c r="R32" s="185"/>
    </row>
    <row r="33" spans="2:20">
      <c r="B33" s="3">
        <v>12</v>
      </c>
      <c r="C33" s="9">
        <f t="shared" si="3"/>
        <v>273.04000000000002</v>
      </c>
      <c r="D33" s="9">
        <f t="shared" si="4"/>
        <v>26.055384615384629</v>
      </c>
      <c r="E33" s="9">
        <f t="shared" ca="1" si="5"/>
        <v>40.073846153846162</v>
      </c>
      <c r="F33" s="9">
        <f t="shared" ca="1" si="0"/>
        <v>20.860000000000014</v>
      </c>
      <c r="G33" s="9">
        <f t="shared" ca="1" si="1"/>
        <v>78.278461538461556</v>
      </c>
      <c r="H33" s="62">
        <f ca="1">IF($P$33="enero",'Base cotización por meses'!C78,IF($P$33="febrero",'Base cotización por meses'!D78,IF($P$33="marzo",'Base cotización por meses'!E78,IF($P$33="abril",'Base cotización por meses'!F78,IF($P$33="mayo",'Base cotización por meses'!G78,IF($P$33="junio",'Base cotización por meses'!H78,IF($P$33="julio",'Base cotización por meses'!I78,IF($P$33="agosto",'Base cotización por meses'!J78,IF($P$33="septiembre",'Base cotización por meses'!K78,IF($P$33="octubre",'Base cotización por meses'!L78,IF($P$33="noviembre",'Base cotización por meses'!M78,IF($P$33="diciembre",'Base cotización por meses'!N78,IF($P$33="media",'Base cotización por meses'!H33)))))))))))))*$P$36</f>
        <v>103.4406153846154</v>
      </c>
      <c r="I33" s="62">
        <f ca="1">IF($P$33="enero",'Base cotización por meses'!C78,IF($P$33="febrero",'Base cotización por meses'!D78,IF($P$33="marzo",'Base cotización por meses'!E78,IF($P$33="abril",'Base cotización por meses'!F78,IF($P$33="mayo",'Base cotización por meses'!G78,IF($P$33="junio",'Base cotización por meses'!H78,IF($P$33="julio",'Base cotización por meses'!I78,IF($P$33="agosto",'Base cotización por meses'!J78,IF($P$33="septiembre",'Base cotización por meses'!K78,IF($P$33="octubre",'Base cotización por meses'!L78,IF($P$33="noviembre",'Base cotización por meses'!M78,IF($P$33="diciembre",'Base cotización por meses'!N78,IF($P$33="media",'Base cotización por meses'!H33)))))))))))))*$P$51</f>
        <v>3.2873076923076927</v>
      </c>
      <c r="J33" s="62">
        <f ca="1">IF($P$33="enero",'Base cotización por meses'!C78,IF($P$33="febrero",'Base cotización por meses'!D78,IF($P$33="marzo",'Base cotización por meses'!E78,IF($P$33="abril",'Base cotización por meses'!F78,IF($P$33="mayo",'Base cotización por meses'!G78,IF($P$33="junio",'Base cotización por meses'!H78,IF($P$33="julio",'Base cotización por meses'!I78,IF($P$33="agosto",'Base cotización por meses'!J78,IF($P$33="septiembre",'Base cotización por meses'!K78,IF($P$33="octubre",'Base cotización por meses'!L78,IF($P$33="noviembre",'Base cotización por meses'!M78,IF($P$33="diciembre",'Base cotización por meses'!N78,IF($P$33="media",'Base cotización por meses'!H33)))))))))))))*$P$39</f>
        <v>15.779076923076925</v>
      </c>
      <c r="K33" s="62">
        <f ca="1">IF($P$33="enero",'Base cotización por meses'!C78,IF($P$33="febrero",'Base cotización por meses'!D78,IF($P$33="marzo",'Base cotización por meses'!E78,IF($P$33="abril",'Base cotización por meses'!F78,IF($P$33="mayo",'Base cotización por meses'!G78,IF($P$33="junio",'Base cotización por meses'!H78,IF($P$33="julio",'Base cotización por meses'!I78,IF($P$33="agosto",'Base cotización por meses'!J78,IF($P$33="septiembre",'Base cotización por meses'!K78,IF($P$33="octubre",'Base cotización por meses'!L78,IF($P$33="noviembre",'Base cotización por meses'!M78,IF($P$33="diciembre",'Base cotización por meses'!N78,IF($P$33="media",'Base cotización por meses'!H33)))))))))))))*$P$42</f>
        <v>24.106923076923081</v>
      </c>
      <c r="L33" s="62">
        <f ca="1">IF($P$33="enero",'Base cotización por meses'!C78,IF($P$33="febrero",'Base cotización por meses'!D78,IF($P$33="marzo",'Base cotización por meses'!E78,IF($P$33="abril",'Base cotización por meses'!F78,IF($P$33="mayo",'Base cotización por meses'!G78,IF($P$33="junio",'Base cotización por meses'!H78,IF($P$33="julio",'Base cotización por meses'!I78,IF($P$33="agosto",'Base cotización por meses'!J78,IF($P$33="septiembre",'Base cotización por meses'!K78,IF($P$33="octubre",'Base cotización por meses'!L78,IF($P$33="noviembre",'Base cotización por meses'!M78,IF($P$33="diciembre",'Base cotización por meses'!N78,IF($P$33="media",'Base cotización por meses'!H33)))))))))))))*$P$45</f>
        <v>2.6298461538461542</v>
      </c>
      <c r="M33" s="62">
        <f ca="1">IF($P$33="enero",'Base cotización por meses'!C78,IF($P$33="febrero",'Base cotización por meses'!D78,IF($P$33="marzo",'Base cotización por meses'!E78,IF($P$33="abril",'Base cotización por meses'!F78,IF($P$33="mayo",'Base cotización por meses'!G78,IF($P$33="junio",'Base cotización por meses'!H78,IF($P$33="julio",'Base cotización por meses'!I78,IF($P$33="agosto",'Base cotización por meses'!J78,IF($P$33="septiembre",'Base cotización por meses'!K78,IF($P$33="octubre",'Base cotización por meses'!L78,IF($P$33="noviembre",'Base cotización por meses'!M78,IF($P$33="diciembre",'Base cotización por meses'!N78,IF($P$33="media",'Base cotización por meses'!H33)))))))))))))*$P$48</f>
        <v>0.8766153846153848</v>
      </c>
      <c r="N33" s="50">
        <f t="shared" ca="1" si="2"/>
        <v>588.42807692307701</v>
      </c>
      <c r="O33" s="10"/>
      <c r="P33" s="186" t="s">
        <v>57</v>
      </c>
      <c r="Q33" s="187"/>
      <c r="R33" s="188"/>
      <c r="T33" s="10"/>
    </row>
    <row r="34" spans="2:20" ht="16" customHeight="1" thickBot="1">
      <c r="B34" s="3">
        <v>11</v>
      </c>
      <c r="C34" s="9">
        <f t="shared" si="3"/>
        <v>250.28666666666666</v>
      </c>
      <c r="D34" s="9">
        <f t="shared" si="4"/>
        <v>23.884102564102577</v>
      </c>
      <c r="E34" s="9">
        <f t="shared" ca="1" si="5"/>
        <v>36.734358974358983</v>
      </c>
      <c r="F34" s="9">
        <f t="shared" ca="1" si="0"/>
        <v>19.121666666666727</v>
      </c>
      <c r="G34" s="9">
        <f t="shared" ca="1" si="1"/>
        <v>71.755256410256408</v>
      </c>
      <c r="H34" s="62">
        <f ca="1">IF($P$33="enero",'Base cotización por meses'!C79,IF($P$33="febrero",'Base cotización por meses'!D79,IF($P$33="marzo",'Base cotización por meses'!E79,IF($P$33="abril",'Base cotización por meses'!F79,IF($P$33="mayo",'Base cotización por meses'!G79,IF($P$33="junio",'Base cotización por meses'!H79,IF($P$33="julio",'Base cotización por meses'!I79,IF($P$33="agosto",'Base cotización por meses'!J79,IF($P$33="septiembre",'Base cotización por meses'!K79,IF($P$33="octubre",'Base cotización por meses'!L79,IF($P$33="noviembre",'Base cotización por meses'!M79,IF($P$33="diciembre",'Base cotización por meses'!N79,IF($P$33="media",'Base cotización por meses'!H34)))))))))))))*$P$36</f>
        <v>94.82056410256412</v>
      </c>
      <c r="I34" s="62">
        <f ca="1">IF($P$33="enero",'Base cotización por meses'!C79,IF($P$33="febrero",'Base cotización por meses'!D79,IF($P$33="marzo",'Base cotización por meses'!E79,IF($P$33="abril",'Base cotización por meses'!F79,IF($P$33="mayo",'Base cotización por meses'!G79,IF($P$33="junio",'Base cotización por meses'!H79,IF($P$33="julio",'Base cotización por meses'!I79,IF($P$33="agosto",'Base cotización por meses'!J79,IF($P$33="septiembre",'Base cotización por meses'!K79,IF($P$33="octubre",'Base cotización por meses'!L79,IF($P$33="noviembre",'Base cotización por meses'!M79,IF($P$33="diciembre",'Base cotización por meses'!N79,IF($P$33="media",'Base cotización por meses'!H34)))))))))))))*$P$51</f>
        <v>3.0133653846153852</v>
      </c>
      <c r="J34" s="62">
        <f ca="1">IF($P$33="enero",'Base cotización por meses'!C79,IF($P$33="febrero",'Base cotización por meses'!D79,IF($P$33="marzo",'Base cotización por meses'!E79,IF($P$33="abril",'Base cotización por meses'!F79,IF($P$33="mayo",'Base cotización por meses'!G79,IF($P$33="junio",'Base cotización por meses'!H79,IF($P$33="julio",'Base cotización por meses'!I79,IF($P$33="agosto",'Base cotización por meses'!J79,IF($P$33="septiembre",'Base cotización por meses'!K79,IF($P$33="octubre",'Base cotización por meses'!L79,IF($P$33="noviembre",'Base cotización por meses'!M79,IF($P$33="diciembre",'Base cotización por meses'!N79,IF($P$33="media",'Base cotización por meses'!H34)))))))))))))*$P$39</f>
        <v>14.464153846153849</v>
      </c>
      <c r="K34" s="62">
        <f ca="1">IF($P$33="enero",'Base cotización por meses'!C79,IF($P$33="febrero",'Base cotización por meses'!D79,IF($P$33="marzo",'Base cotización por meses'!E79,IF($P$33="abril",'Base cotización por meses'!F79,IF($P$33="mayo",'Base cotización por meses'!G79,IF($P$33="junio",'Base cotización por meses'!H79,IF($P$33="julio",'Base cotización por meses'!I79,IF($P$33="agosto",'Base cotización por meses'!J79,IF($P$33="septiembre",'Base cotización por meses'!K79,IF($P$33="octubre",'Base cotización por meses'!L79,IF($P$33="noviembre",'Base cotización por meses'!M79,IF($P$33="diciembre",'Base cotización por meses'!N79,IF($P$33="media",'Base cotización por meses'!H34)))))))))))))*$P$42</f>
        <v>22.098012820512825</v>
      </c>
      <c r="L34" s="62">
        <f ca="1">IF($P$33="enero",'Base cotización por meses'!C79,IF($P$33="febrero",'Base cotización por meses'!D79,IF($P$33="marzo",'Base cotización por meses'!E79,IF($P$33="abril",'Base cotización por meses'!F79,IF($P$33="mayo",'Base cotización por meses'!G79,IF($P$33="junio",'Base cotización por meses'!H79,IF($P$33="julio",'Base cotización por meses'!I79,IF($P$33="agosto",'Base cotización por meses'!J79,IF($P$33="septiembre",'Base cotización por meses'!K79,IF($P$33="octubre",'Base cotización por meses'!L79,IF($P$33="noviembre",'Base cotización por meses'!M79,IF($P$33="diciembre",'Base cotización por meses'!N79,IF($P$33="media",'Base cotización por meses'!H34)))))))))))))*$P$45</f>
        <v>2.4106923076923081</v>
      </c>
      <c r="M34" s="62">
        <f ca="1">IF($P$33="enero",'Base cotización por meses'!C79,IF($P$33="febrero",'Base cotización por meses'!D79,IF($P$33="marzo",'Base cotización por meses'!E79,IF($P$33="abril",'Base cotización por meses'!F79,IF($P$33="mayo",'Base cotización por meses'!G79,IF($P$33="junio",'Base cotización por meses'!H79,IF($P$33="julio",'Base cotización por meses'!I79,IF($P$33="agosto",'Base cotización por meses'!J79,IF($P$33="septiembre",'Base cotización por meses'!K79,IF($P$33="octubre",'Base cotización por meses'!L79,IF($P$33="noviembre",'Base cotización por meses'!M79,IF($P$33="diciembre",'Base cotización por meses'!N79,IF($P$33="media",'Base cotización por meses'!H34)))))))))))))*$P$48</f>
        <v>0.80356410256410282</v>
      </c>
      <c r="N34" s="50">
        <f t="shared" ca="1" si="2"/>
        <v>539.39240384615402</v>
      </c>
      <c r="O34" s="10"/>
    </row>
    <row r="35" spans="2:20" ht="16" customHeight="1" thickBot="1">
      <c r="B35" s="3">
        <v>10</v>
      </c>
      <c r="C35" s="9">
        <f t="shared" si="3"/>
        <v>227.53333333333333</v>
      </c>
      <c r="D35" s="9">
        <f t="shared" si="4"/>
        <v>21.712820512820524</v>
      </c>
      <c r="E35" s="9">
        <f t="shared" ca="1" si="5"/>
        <v>33.394871794871804</v>
      </c>
      <c r="F35" s="9">
        <f t="shared" ca="1" si="0"/>
        <v>17.383333333333326</v>
      </c>
      <c r="G35" s="9">
        <f t="shared" ca="1" si="1"/>
        <v>65.232051282051287</v>
      </c>
      <c r="H35" s="62">
        <f ca="1">IF($P$33="enero",'Base cotización por meses'!C80,IF($P$33="febrero",'Base cotización por meses'!D80,IF($P$33="marzo",'Base cotización por meses'!E80,IF($P$33="abril",'Base cotización por meses'!F80,IF($P$33="mayo",'Base cotización por meses'!G80,IF($P$33="junio",'Base cotización por meses'!H80,IF($P$33="julio",'Base cotización por meses'!I80,IF($P$33="agosto",'Base cotización por meses'!J80,IF($P$33="septiembre",'Base cotización por meses'!K80,IF($P$33="octubre",'Base cotización por meses'!L80,IF($P$33="noviembre",'Base cotización por meses'!M80,IF($P$33="diciembre",'Base cotización por meses'!N80,IF($P$33="media",'Base cotización por meses'!H35)))))))))))))*$P$36</f>
        <v>86.200512820512827</v>
      </c>
      <c r="I35" s="62">
        <f ca="1">IF($P$33="enero",'Base cotización por meses'!C80,IF($P$33="febrero",'Base cotización por meses'!D80,IF($P$33="marzo",'Base cotización por meses'!E80,IF($P$33="abril",'Base cotización por meses'!F80,IF($P$33="mayo",'Base cotización por meses'!G80,IF($P$33="junio",'Base cotización por meses'!H80,IF($P$33="julio",'Base cotización por meses'!I80,IF($P$33="agosto",'Base cotización por meses'!J80,IF($P$33="septiembre",'Base cotización por meses'!K80,IF($P$33="octubre",'Base cotización por meses'!L80,IF($P$33="noviembre",'Base cotización por meses'!M80,IF($P$33="diciembre",'Base cotización por meses'!N80,IF($P$33="media",'Base cotización por meses'!H35)))))))))))))*$P$51</f>
        <v>2.7394230769230772</v>
      </c>
      <c r="J35" s="62">
        <f ca="1">IF($P$33="enero",'Base cotización por meses'!C80,IF($P$33="febrero",'Base cotización por meses'!D80,IF($P$33="marzo",'Base cotización por meses'!E80,IF($P$33="abril",'Base cotización por meses'!F80,IF($P$33="mayo",'Base cotización por meses'!G80,IF($P$33="junio",'Base cotización por meses'!H80,IF($P$33="julio",'Base cotización por meses'!I80,IF($P$33="agosto",'Base cotización por meses'!J80,IF($P$33="septiembre",'Base cotización por meses'!K80,IF($P$33="octubre",'Base cotización por meses'!L80,IF($P$33="noviembre",'Base cotización por meses'!M80,IF($P$33="diciembre",'Base cotización por meses'!N80,IF($P$33="media",'Base cotización por meses'!H35)))))))))))))*$P$39</f>
        <v>13.149230769230769</v>
      </c>
      <c r="K35" s="62">
        <f ca="1">IF($P$33="enero",'Base cotización por meses'!C80,IF($P$33="febrero",'Base cotización por meses'!D80,IF($P$33="marzo",'Base cotización por meses'!E80,IF($P$33="abril",'Base cotización por meses'!F80,IF($P$33="mayo",'Base cotización por meses'!G80,IF($P$33="junio",'Base cotización por meses'!H80,IF($P$33="julio",'Base cotización por meses'!I80,IF($P$33="agosto",'Base cotización por meses'!J80,IF($P$33="septiembre",'Base cotización por meses'!K80,IF($P$33="octubre",'Base cotización por meses'!L80,IF($P$33="noviembre",'Base cotización por meses'!M80,IF($P$33="diciembre",'Base cotización por meses'!N80,IF($P$33="media",'Base cotización por meses'!H35)))))))))))))*$P$42</f>
        <v>20.089102564102564</v>
      </c>
      <c r="L35" s="62">
        <f ca="1">IF($P$33="enero",'Base cotización por meses'!C80,IF($P$33="febrero",'Base cotización por meses'!D80,IF($P$33="marzo",'Base cotización por meses'!E80,IF($P$33="abril",'Base cotización por meses'!F80,IF($P$33="mayo",'Base cotización por meses'!G80,IF($P$33="junio",'Base cotización por meses'!H80,IF($P$33="julio",'Base cotización por meses'!I80,IF($P$33="agosto",'Base cotización por meses'!J80,IF($P$33="septiembre",'Base cotización por meses'!K80,IF($P$33="octubre",'Base cotización por meses'!L80,IF($P$33="noviembre",'Base cotización por meses'!M80,IF($P$33="diciembre",'Base cotización por meses'!N80,IF($P$33="media",'Base cotización por meses'!H35)))))))))))))*$P$45</f>
        <v>2.1915384615384617</v>
      </c>
      <c r="M35" s="62">
        <f ca="1">IF($P$33="enero",'Base cotización por meses'!C80,IF($P$33="febrero",'Base cotización por meses'!D80,IF($P$33="marzo",'Base cotización por meses'!E80,IF($P$33="abril",'Base cotización por meses'!F80,IF($P$33="mayo",'Base cotización por meses'!G80,IF($P$33="junio",'Base cotización por meses'!H80,IF($P$33="julio",'Base cotización por meses'!I80,IF($P$33="agosto",'Base cotización por meses'!J80,IF($P$33="septiembre",'Base cotización por meses'!K80,IF($P$33="octubre",'Base cotización por meses'!L80,IF($P$33="noviembre",'Base cotización por meses'!M80,IF($P$33="diciembre",'Base cotización por meses'!N80,IF($P$33="media",'Base cotización por meses'!H35)))))))))))))*$P$48</f>
        <v>0.73051282051282052</v>
      </c>
      <c r="N35" s="50">
        <f t="shared" ca="1" si="2"/>
        <v>490.35673076923081</v>
      </c>
      <c r="P35" s="190" t="s">
        <v>69</v>
      </c>
      <c r="Q35" s="165"/>
      <c r="R35" s="185"/>
    </row>
    <row r="36" spans="2:20">
      <c r="B36" s="3">
        <v>9</v>
      </c>
      <c r="C36" s="9">
        <f t="shared" si="3"/>
        <v>204.78</v>
      </c>
      <c r="D36" s="9">
        <f t="shared" si="4"/>
        <v>19.541538461538472</v>
      </c>
      <c r="E36" s="9">
        <f t="shared" ca="1" si="5"/>
        <v>30.055384615384625</v>
      </c>
      <c r="F36" s="9">
        <f t="shared" ca="1" si="0"/>
        <v>15.645000000000039</v>
      </c>
      <c r="G36" s="9">
        <f t="shared" ca="1" si="1"/>
        <v>58.708846153846153</v>
      </c>
      <c r="H36" s="62">
        <f ca="1">IF($P$33="enero",'Base cotización por meses'!C81,IF($P$33="febrero",'Base cotización por meses'!D81,IF($P$33="marzo",'Base cotización por meses'!E81,IF($P$33="abril",'Base cotización por meses'!F81,IF($P$33="mayo",'Base cotización por meses'!G81,IF($P$33="junio",'Base cotización por meses'!H81,IF($P$33="julio",'Base cotización por meses'!I81,IF($P$33="agosto",'Base cotización por meses'!J81,IF($P$33="septiembre",'Base cotización por meses'!K81,IF($P$33="octubre",'Base cotización por meses'!L81,IF($P$33="noviembre",'Base cotización por meses'!M81,IF($P$33="diciembre",'Base cotización por meses'!N81,IF($P$33="media",'Base cotización por meses'!H36)))))))))))))*$P$36</f>
        <v>77.580461538461549</v>
      </c>
      <c r="I36" s="62">
        <f ca="1">IF($P$33="enero",'Base cotización por meses'!C81,IF($P$33="febrero",'Base cotización por meses'!D81,IF($P$33="marzo",'Base cotización por meses'!E81,IF($P$33="abril",'Base cotización por meses'!F81,IF($P$33="mayo",'Base cotización por meses'!G81,IF($P$33="junio",'Base cotización por meses'!H81,IF($P$33="julio",'Base cotización por meses'!I81,IF($P$33="agosto",'Base cotización por meses'!J81,IF($P$33="septiembre",'Base cotización por meses'!K81,IF($P$33="octubre",'Base cotización por meses'!L81,IF($P$33="noviembre",'Base cotización por meses'!M81,IF($P$33="diciembre",'Base cotización por meses'!N81,IF($P$33="media",'Base cotización por meses'!H36)))))))))))))*$P$51</f>
        <v>2.4654807692307696</v>
      </c>
      <c r="J36" s="62">
        <f ca="1">IF($P$33="enero",'Base cotización por meses'!C81,IF($P$33="febrero",'Base cotización por meses'!D81,IF($P$33="marzo",'Base cotización por meses'!E81,IF($P$33="abril",'Base cotización por meses'!F81,IF($P$33="mayo",'Base cotización por meses'!G81,IF($P$33="junio",'Base cotización por meses'!H81,IF($P$33="julio",'Base cotización por meses'!I81,IF($P$33="agosto",'Base cotización por meses'!J81,IF($P$33="septiembre",'Base cotización por meses'!K81,IF($P$33="octubre",'Base cotización por meses'!L81,IF($P$33="noviembre",'Base cotización por meses'!M81,IF($P$33="diciembre",'Base cotización por meses'!N81,IF($P$33="media",'Base cotización por meses'!H36)))))))))))))*$P$39</f>
        <v>11.834307692307693</v>
      </c>
      <c r="K36" s="62">
        <f ca="1">IF($P$33="enero",'Base cotización por meses'!C81,IF($P$33="febrero",'Base cotización por meses'!D81,IF($P$33="marzo",'Base cotización por meses'!E81,IF($P$33="abril",'Base cotización por meses'!F81,IF($P$33="mayo",'Base cotización por meses'!G81,IF($P$33="junio",'Base cotización por meses'!H81,IF($P$33="julio",'Base cotización por meses'!I81,IF($P$33="agosto",'Base cotización por meses'!J81,IF($P$33="septiembre",'Base cotización por meses'!K81,IF($P$33="octubre",'Base cotización por meses'!L81,IF($P$33="noviembre",'Base cotización por meses'!M81,IF($P$33="diciembre",'Base cotización por meses'!N81,IF($P$33="media",'Base cotización por meses'!H36)))))))))))))*$P$42</f>
        <v>18.080192307692311</v>
      </c>
      <c r="L36" s="62">
        <f ca="1">IF($P$33="enero",'Base cotización por meses'!C81,IF($P$33="febrero",'Base cotización por meses'!D81,IF($P$33="marzo",'Base cotización por meses'!E81,IF($P$33="abril",'Base cotización por meses'!F81,IF($P$33="mayo",'Base cotización por meses'!G81,IF($P$33="junio",'Base cotización por meses'!H81,IF($P$33="julio",'Base cotización por meses'!I81,IF($P$33="agosto",'Base cotización por meses'!J81,IF($P$33="septiembre",'Base cotización por meses'!K81,IF($P$33="octubre",'Base cotización por meses'!L81,IF($P$33="noviembre",'Base cotización por meses'!M81,IF($P$33="diciembre",'Base cotización por meses'!N81,IF($P$33="media",'Base cotización por meses'!H36)))))))))))))*$P$45</f>
        <v>1.9723846153846158</v>
      </c>
      <c r="M36" s="62">
        <f ca="1">IF($P$33="enero",'Base cotización por meses'!C81,IF($P$33="febrero",'Base cotización por meses'!D81,IF($P$33="marzo",'Base cotización por meses'!E81,IF($P$33="abril",'Base cotización por meses'!F81,IF($P$33="mayo",'Base cotización por meses'!G81,IF($P$33="junio",'Base cotización por meses'!H81,IF($P$33="julio",'Base cotización por meses'!I81,IF($P$33="agosto",'Base cotización por meses'!J81,IF($P$33="septiembre",'Base cotización por meses'!K81,IF($P$33="octubre",'Base cotización por meses'!L81,IF($P$33="noviembre",'Base cotización por meses'!M81,IF($P$33="diciembre",'Base cotización por meses'!N81,IF($P$33="media",'Base cotización por meses'!H36)))))))))))))*$P$48</f>
        <v>0.65746153846153854</v>
      </c>
      <c r="N36" s="50">
        <f t="shared" ca="1" si="2"/>
        <v>441.32105769230776</v>
      </c>
      <c r="P36" s="189">
        <v>0.23599999999999999</v>
      </c>
      <c r="Q36" s="187"/>
      <c r="R36" s="188"/>
      <c r="S36" s="88" t="s">
        <v>70</v>
      </c>
    </row>
    <row r="37" spans="2:20" ht="16" customHeight="1" thickBot="1">
      <c r="B37" s="3">
        <v>8</v>
      </c>
      <c r="C37" s="9">
        <f t="shared" si="3"/>
        <v>182.02666666666667</v>
      </c>
      <c r="D37" s="9">
        <f t="shared" si="4"/>
        <v>17.37025641025642</v>
      </c>
      <c r="E37" s="9">
        <f t="shared" ca="1" si="5"/>
        <v>26.715897435897443</v>
      </c>
      <c r="F37" s="9">
        <f t="shared" ca="1" si="0"/>
        <v>13.906666666666695</v>
      </c>
      <c r="G37" s="9">
        <f t="shared" ca="1" si="1"/>
        <v>52.185641025641026</v>
      </c>
      <c r="H37" s="62">
        <f ca="1">IF($P$33="enero",'Base cotización por meses'!C82,IF($P$33="febrero",'Base cotización por meses'!D82,IF($P$33="marzo",'Base cotización por meses'!E82,IF($P$33="abril",'Base cotización por meses'!F82,IF($P$33="mayo",'Base cotización por meses'!G82,IF($P$33="junio",'Base cotización por meses'!H82,IF($P$33="julio",'Base cotización por meses'!I82,IF($P$33="agosto",'Base cotización por meses'!J82,IF($P$33="septiembre",'Base cotización por meses'!K82,IF($P$33="octubre",'Base cotización por meses'!L82,IF($P$33="noviembre",'Base cotización por meses'!M82,IF($P$33="diciembre",'Base cotización por meses'!N82,IF($P$33="media",'Base cotización por meses'!H37)))))))))))))*$P$36</f>
        <v>68.960410256410256</v>
      </c>
      <c r="I37" s="62">
        <f ca="1">IF($P$33="enero",'Base cotización por meses'!C82,IF($P$33="febrero",'Base cotización por meses'!D82,IF($P$33="marzo",'Base cotización por meses'!E82,IF($P$33="abril",'Base cotización por meses'!F82,IF($P$33="mayo",'Base cotización por meses'!G82,IF($P$33="junio",'Base cotización por meses'!H82,IF($P$33="julio",'Base cotización por meses'!I82,IF($P$33="agosto",'Base cotización por meses'!J82,IF($P$33="septiembre",'Base cotización por meses'!K82,IF($P$33="octubre",'Base cotización por meses'!L82,IF($P$33="noviembre",'Base cotización por meses'!M82,IF($P$33="diciembre",'Base cotización por meses'!N82,IF($P$33="media",'Base cotización por meses'!H37)))))))))))))*$P$51</f>
        <v>2.1915384615384617</v>
      </c>
      <c r="J37" s="62">
        <f ca="1">IF($P$33="enero",'Base cotización por meses'!C82,IF($P$33="febrero",'Base cotización por meses'!D82,IF($P$33="marzo",'Base cotización por meses'!E82,IF($P$33="abril",'Base cotización por meses'!F82,IF($P$33="mayo",'Base cotización por meses'!G82,IF($P$33="junio",'Base cotización por meses'!H82,IF($P$33="julio",'Base cotización por meses'!I82,IF($P$33="agosto",'Base cotización por meses'!J82,IF($P$33="septiembre",'Base cotización por meses'!K82,IF($P$33="octubre",'Base cotización por meses'!L82,IF($P$33="noviembre",'Base cotización por meses'!M82,IF($P$33="diciembre",'Base cotización por meses'!N82,IF($P$33="media",'Base cotización por meses'!H37)))))))))))))*$P$39</f>
        <v>10.519384615384615</v>
      </c>
      <c r="K37" s="62">
        <f ca="1">IF($P$33="enero",'Base cotización por meses'!C82,IF($P$33="febrero",'Base cotización por meses'!D82,IF($P$33="marzo",'Base cotización por meses'!E82,IF($P$33="abril",'Base cotización por meses'!F82,IF($P$33="mayo",'Base cotización por meses'!G82,IF($P$33="junio",'Base cotización por meses'!H82,IF($P$33="julio",'Base cotización por meses'!I82,IF($P$33="agosto",'Base cotización por meses'!J82,IF($P$33="septiembre",'Base cotización por meses'!K82,IF($P$33="octubre",'Base cotización por meses'!L82,IF($P$33="noviembre",'Base cotización por meses'!M82,IF($P$33="diciembre",'Base cotización por meses'!N82,IF($P$33="media",'Base cotización por meses'!H37)))))))))))))*$P$42</f>
        <v>16.071282051282054</v>
      </c>
      <c r="L37" s="62">
        <f ca="1">IF($P$33="enero",'Base cotización por meses'!C82,IF($P$33="febrero",'Base cotización por meses'!D82,IF($P$33="marzo",'Base cotización por meses'!E82,IF($P$33="abril",'Base cotización por meses'!F82,IF($P$33="mayo",'Base cotización por meses'!G82,IF($P$33="junio",'Base cotización por meses'!H82,IF($P$33="julio",'Base cotización por meses'!I82,IF($P$33="agosto",'Base cotización por meses'!J82,IF($P$33="septiembre",'Base cotización por meses'!K82,IF($P$33="octubre",'Base cotización por meses'!L82,IF($P$33="noviembre",'Base cotización por meses'!M82,IF($P$33="diciembre",'Base cotización por meses'!N82,IF($P$33="media",'Base cotización por meses'!H37)))))))))))))*$P$45</f>
        <v>1.7532307692307694</v>
      </c>
      <c r="M37" s="62">
        <f ca="1">IF($P$33="enero",'Base cotización por meses'!C82,IF($P$33="febrero",'Base cotización por meses'!D82,IF($P$33="marzo",'Base cotización por meses'!E82,IF($P$33="abril",'Base cotización por meses'!F82,IF($P$33="mayo",'Base cotización por meses'!G82,IF($P$33="junio",'Base cotización por meses'!H82,IF($P$33="julio",'Base cotización por meses'!I82,IF($P$33="agosto",'Base cotización por meses'!J82,IF($P$33="septiembre",'Base cotización por meses'!K82,IF($P$33="octubre",'Base cotización por meses'!L82,IF($P$33="noviembre",'Base cotización por meses'!M82,IF($P$33="diciembre",'Base cotización por meses'!N82,IF($P$33="media",'Base cotización por meses'!H37)))))))))))))*$P$48</f>
        <v>0.58441025641025646</v>
      </c>
      <c r="N37" s="50">
        <f t="shared" ca="1" si="2"/>
        <v>392.28538461538471</v>
      </c>
    </row>
    <row r="38" spans="2:20" ht="16" customHeight="1" thickBot="1">
      <c r="B38" s="3">
        <v>7</v>
      </c>
      <c r="C38" s="9">
        <f t="shared" si="3"/>
        <v>159.27333333333334</v>
      </c>
      <c r="D38" s="9">
        <f t="shared" si="4"/>
        <v>15.198974358974368</v>
      </c>
      <c r="E38" s="9">
        <f t="shared" ca="1" si="5"/>
        <v>23.376410256410264</v>
      </c>
      <c r="F38" s="9">
        <f t="shared" ca="1" si="0"/>
        <v>12.168333333333351</v>
      </c>
      <c r="G38" s="9">
        <f t="shared" ca="1" si="1"/>
        <v>45.662435897435898</v>
      </c>
      <c r="H38" s="62">
        <f ca="1">IF($P$33="enero",'Base cotización por meses'!C83,IF($P$33="febrero",'Base cotización por meses'!D83,IF($P$33="marzo",'Base cotización por meses'!E83,IF($P$33="abril",'Base cotización por meses'!F83,IF($P$33="mayo",'Base cotización por meses'!G83,IF($P$33="junio",'Base cotización por meses'!H83,IF($P$33="julio",'Base cotización por meses'!I83,IF($P$33="agosto",'Base cotización por meses'!J83,IF($P$33="septiembre",'Base cotización por meses'!K83,IF($P$33="octubre",'Base cotización por meses'!L83,IF($P$33="noviembre",'Base cotización por meses'!M83,IF($P$33="diciembre",'Base cotización por meses'!N83,IF($P$33="media",'Base cotización por meses'!H38)))))))))))))*$P$36</f>
        <v>60.340358974358978</v>
      </c>
      <c r="I38" s="62">
        <f ca="1">IF($P$33="enero",'Base cotización por meses'!C83,IF($P$33="febrero",'Base cotización por meses'!D83,IF($P$33="marzo",'Base cotización por meses'!E83,IF($P$33="abril",'Base cotización por meses'!F83,IF($P$33="mayo",'Base cotización por meses'!G83,IF($P$33="junio",'Base cotización por meses'!H83,IF($P$33="julio",'Base cotización por meses'!I83,IF($P$33="agosto",'Base cotización por meses'!J83,IF($P$33="septiembre",'Base cotización por meses'!K83,IF($P$33="octubre",'Base cotización por meses'!L83,IF($P$33="noviembre",'Base cotización por meses'!M83,IF($P$33="diciembre",'Base cotización por meses'!N83,IF($P$33="media",'Base cotización por meses'!H38)))))))))))))*$P$51</f>
        <v>1.9175961538461541</v>
      </c>
      <c r="J38" s="62">
        <f ca="1">IF($P$33="enero",'Base cotización por meses'!C83,IF($P$33="febrero",'Base cotización por meses'!D83,IF($P$33="marzo",'Base cotización por meses'!E83,IF($P$33="abril",'Base cotización por meses'!F83,IF($P$33="mayo",'Base cotización por meses'!G83,IF($P$33="junio",'Base cotización por meses'!H83,IF($P$33="julio",'Base cotización por meses'!I83,IF($P$33="agosto",'Base cotización por meses'!J83,IF($P$33="septiembre",'Base cotización por meses'!K83,IF($P$33="octubre",'Base cotización por meses'!L83,IF($P$33="noviembre",'Base cotización por meses'!M83,IF($P$33="diciembre",'Base cotización por meses'!N83,IF($P$33="media",'Base cotización por meses'!H38)))))))))))))*$P$39</f>
        <v>9.2044615384615387</v>
      </c>
      <c r="K38" s="62">
        <f ca="1">IF($P$33="enero",'Base cotización por meses'!C83,IF($P$33="febrero",'Base cotización por meses'!D83,IF($P$33="marzo",'Base cotización por meses'!E83,IF($P$33="abril",'Base cotización por meses'!F83,IF($P$33="mayo",'Base cotización por meses'!G83,IF($P$33="junio",'Base cotización por meses'!H83,IF($P$33="julio",'Base cotización por meses'!I83,IF($P$33="agosto",'Base cotización por meses'!J83,IF($P$33="septiembre",'Base cotización por meses'!K83,IF($P$33="octubre",'Base cotización por meses'!L83,IF($P$33="noviembre",'Base cotización por meses'!M83,IF($P$33="diciembre",'Base cotización por meses'!N83,IF($P$33="media",'Base cotización por meses'!H38)))))))))))))*$P$42</f>
        <v>14.062371794871797</v>
      </c>
      <c r="L38" s="62">
        <f ca="1">IF($P$33="enero",'Base cotización por meses'!C83,IF($P$33="febrero",'Base cotización por meses'!D83,IF($P$33="marzo",'Base cotización por meses'!E83,IF($P$33="abril",'Base cotización por meses'!F83,IF($P$33="mayo",'Base cotización por meses'!G83,IF($P$33="junio",'Base cotización por meses'!H83,IF($P$33="julio",'Base cotización por meses'!I83,IF($P$33="agosto",'Base cotización por meses'!J83,IF($P$33="septiembre",'Base cotización por meses'!K83,IF($P$33="octubre",'Base cotización por meses'!L83,IF($P$33="noviembre",'Base cotización por meses'!M83,IF($P$33="diciembre",'Base cotización por meses'!N83,IF($P$33="media",'Base cotización por meses'!H38)))))))))))))*$P$45</f>
        <v>1.5340769230769233</v>
      </c>
      <c r="M38" s="62">
        <f ca="1">IF($P$33="enero",'Base cotización por meses'!C83,IF($P$33="febrero",'Base cotización por meses'!D83,IF($P$33="marzo",'Base cotización por meses'!E83,IF($P$33="abril",'Base cotización por meses'!F83,IF($P$33="mayo",'Base cotización por meses'!G83,IF($P$33="junio",'Base cotización por meses'!H83,IF($P$33="julio",'Base cotización por meses'!I83,IF($P$33="agosto",'Base cotización por meses'!J83,IF($P$33="septiembre",'Base cotización por meses'!K83,IF($P$33="octubre",'Base cotización por meses'!L83,IF($P$33="noviembre",'Base cotización por meses'!M83,IF($P$33="diciembre",'Base cotización por meses'!N83,IF($P$33="media",'Base cotización por meses'!H38)))))))))))))*$P$48</f>
        <v>0.51135897435897448</v>
      </c>
      <c r="N38" s="50">
        <f t="shared" ca="1" si="2"/>
        <v>343.24971153846155</v>
      </c>
      <c r="P38" s="190" t="s">
        <v>71</v>
      </c>
      <c r="Q38" s="165"/>
      <c r="R38" s="185"/>
    </row>
    <row r="39" spans="2:20">
      <c r="B39" s="3">
        <v>6</v>
      </c>
      <c r="C39" s="9">
        <f t="shared" si="3"/>
        <v>136.52000000000001</v>
      </c>
      <c r="D39" s="9">
        <f t="shared" si="4"/>
        <v>13.027692307692314</v>
      </c>
      <c r="E39" s="9">
        <f t="shared" ca="1" si="5"/>
        <v>20.036923076923081</v>
      </c>
      <c r="F39" s="9">
        <f t="shared" ca="1" si="0"/>
        <v>10.430000000000007</v>
      </c>
      <c r="G39" s="9">
        <f t="shared" ca="1" si="1"/>
        <v>39.139230769230778</v>
      </c>
      <c r="H39" s="62">
        <f ca="1">IF($P$33="enero",'Base cotización por meses'!C84,IF($P$33="febrero",'Base cotización por meses'!D84,IF($P$33="marzo",'Base cotización por meses'!E84,IF($P$33="abril",'Base cotización por meses'!F84,IF($P$33="mayo",'Base cotización por meses'!G84,IF($P$33="junio",'Base cotización por meses'!H84,IF($P$33="julio",'Base cotización por meses'!I84,IF($P$33="agosto",'Base cotización por meses'!J84,IF($P$33="septiembre",'Base cotización por meses'!K84,IF($P$33="octubre",'Base cotización por meses'!L84,IF($P$33="noviembre",'Base cotización por meses'!M84,IF($P$33="diciembre",'Base cotización por meses'!N84,IF($P$33="media",'Base cotización por meses'!H39)))))))))))))*$P$36</f>
        <v>51.720307692307699</v>
      </c>
      <c r="I39" s="62">
        <f ca="1">IF($P$33="enero",'Base cotización por meses'!C84,IF($P$33="febrero",'Base cotización por meses'!D84,IF($P$33="marzo",'Base cotización por meses'!E84,IF($P$33="abril",'Base cotización por meses'!F84,IF($P$33="mayo",'Base cotización por meses'!G84,IF($P$33="junio",'Base cotización por meses'!H84,IF($P$33="julio",'Base cotización por meses'!I84,IF($P$33="agosto",'Base cotización por meses'!J84,IF($P$33="septiembre",'Base cotización por meses'!K84,IF($P$33="octubre",'Base cotización por meses'!L84,IF($P$33="noviembre",'Base cotización por meses'!M84,IF($P$33="diciembre",'Base cotización por meses'!N84,IF($P$33="media",'Base cotización por meses'!H39)))))))))))))*$P$51</f>
        <v>1.6436538461538464</v>
      </c>
      <c r="J39" s="62">
        <f ca="1">IF($P$33="enero",'Base cotización por meses'!C84,IF($P$33="febrero",'Base cotización por meses'!D84,IF($P$33="marzo",'Base cotización por meses'!E84,IF($P$33="abril",'Base cotización por meses'!F84,IF($P$33="mayo",'Base cotización por meses'!G84,IF($P$33="junio",'Base cotización por meses'!H84,IF($P$33="julio",'Base cotización por meses'!I84,IF($P$33="agosto",'Base cotización por meses'!J84,IF($P$33="septiembre",'Base cotización por meses'!K84,IF($P$33="octubre",'Base cotización por meses'!L84,IF($P$33="noviembre",'Base cotización por meses'!M84,IF($P$33="diciembre",'Base cotización por meses'!N84,IF($P$33="media",'Base cotización por meses'!H39)))))))))))))*$P$39</f>
        <v>7.8895384615384625</v>
      </c>
      <c r="K39" s="62">
        <f ca="1">IF($P$33="enero",'Base cotización por meses'!C84,IF($P$33="febrero",'Base cotización por meses'!D84,IF($P$33="marzo",'Base cotización por meses'!E84,IF($P$33="abril",'Base cotización por meses'!F84,IF($P$33="mayo",'Base cotización por meses'!G84,IF($P$33="junio",'Base cotización por meses'!H84,IF($P$33="julio",'Base cotización por meses'!I84,IF($P$33="agosto",'Base cotización por meses'!J84,IF($P$33="septiembre",'Base cotización por meses'!K84,IF($P$33="octubre",'Base cotización por meses'!L84,IF($P$33="noviembre",'Base cotización por meses'!M84,IF($P$33="diciembre",'Base cotización por meses'!N84,IF($P$33="media",'Base cotización por meses'!H39)))))))))))))*$P$42</f>
        <v>12.053461538461541</v>
      </c>
      <c r="L39" s="62">
        <f ca="1">IF($P$33="enero",'Base cotización por meses'!C84,IF($P$33="febrero",'Base cotización por meses'!D84,IF($P$33="marzo",'Base cotización por meses'!E84,IF($P$33="abril",'Base cotización por meses'!F84,IF($P$33="mayo",'Base cotización por meses'!G84,IF($P$33="junio",'Base cotización por meses'!H84,IF($P$33="julio",'Base cotización por meses'!I84,IF($P$33="agosto",'Base cotización por meses'!J84,IF($P$33="septiembre",'Base cotización por meses'!K84,IF($P$33="octubre",'Base cotización por meses'!L84,IF($P$33="noviembre",'Base cotización por meses'!M84,IF($P$33="diciembre",'Base cotización por meses'!N84,IF($P$33="media",'Base cotización por meses'!H39)))))))))))))*$P$45</f>
        <v>1.3149230769230771</v>
      </c>
      <c r="M39" s="62">
        <f ca="1">IF($P$33="enero",'Base cotización por meses'!C84,IF($P$33="febrero",'Base cotización por meses'!D84,IF($P$33="marzo",'Base cotización por meses'!E84,IF($P$33="abril",'Base cotización por meses'!F84,IF($P$33="mayo",'Base cotización por meses'!G84,IF($P$33="junio",'Base cotización por meses'!H84,IF($P$33="julio",'Base cotización por meses'!I84,IF($P$33="agosto",'Base cotización por meses'!J84,IF($P$33="septiembre",'Base cotización por meses'!K84,IF($P$33="octubre",'Base cotización por meses'!L84,IF($P$33="noviembre",'Base cotización por meses'!M84,IF($P$33="diciembre",'Base cotización por meses'!N84,IF($P$33="media",'Base cotización por meses'!H39)))))))))))))*$P$48</f>
        <v>0.4383076923076924</v>
      </c>
      <c r="N39" s="50">
        <f t="shared" ca="1" si="2"/>
        <v>294.21403846153851</v>
      </c>
      <c r="P39" s="189">
        <v>3.5999999999999997E-2</v>
      </c>
      <c r="Q39" s="187"/>
      <c r="R39" s="188"/>
      <c r="S39" s="88" t="s">
        <v>70</v>
      </c>
    </row>
    <row r="40" spans="2:20" ht="16" customHeight="1" thickBot="1">
      <c r="B40" s="3">
        <v>5</v>
      </c>
      <c r="C40" s="9">
        <f t="shared" si="3"/>
        <v>113.76666666666668</v>
      </c>
      <c r="D40" s="9">
        <f t="shared" si="4"/>
        <v>10.856410256410262</v>
      </c>
      <c r="E40" s="9">
        <f t="shared" ca="1" si="5"/>
        <v>16.697435897435902</v>
      </c>
      <c r="F40" s="9">
        <f t="shared" ca="1" si="0"/>
        <v>8.6916666666666629</v>
      </c>
      <c r="G40" s="9">
        <f t="shared" ca="1" si="1"/>
        <v>32.616025641025644</v>
      </c>
      <c r="H40" s="62">
        <f ca="1">IF($P$33="enero",'Base cotización por meses'!C85,IF($P$33="febrero",'Base cotización por meses'!D85,IF($P$33="marzo",'Base cotización por meses'!E85,IF($P$33="abril",'Base cotización por meses'!F85,IF($P$33="mayo",'Base cotización por meses'!G85,IF($P$33="junio",'Base cotización por meses'!H85,IF($P$33="julio",'Base cotización por meses'!I85,IF($P$33="agosto",'Base cotización por meses'!J85,IF($P$33="septiembre",'Base cotización por meses'!K85,IF($P$33="octubre",'Base cotización por meses'!L85,IF($P$33="noviembre",'Base cotización por meses'!M85,IF($P$33="diciembre",'Base cotización por meses'!N85,IF($P$33="media",'Base cotización por meses'!H40)))))))))))))*$P$36</f>
        <v>43.100256410256414</v>
      </c>
      <c r="I40" s="62">
        <f ca="1">IF($P$33="enero",'Base cotización por meses'!C85,IF($P$33="febrero",'Base cotización por meses'!D85,IF($P$33="marzo",'Base cotización por meses'!E85,IF($P$33="abril",'Base cotización por meses'!F85,IF($P$33="mayo",'Base cotización por meses'!G85,IF($P$33="junio",'Base cotización por meses'!H85,IF($P$33="julio",'Base cotización por meses'!I85,IF($P$33="agosto",'Base cotización por meses'!J85,IF($P$33="septiembre",'Base cotización por meses'!K85,IF($P$33="octubre",'Base cotización por meses'!L85,IF($P$33="noviembre",'Base cotización por meses'!M85,IF($P$33="diciembre",'Base cotización por meses'!N85,IF($P$33="media",'Base cotización por meses'!H40)))))))))))))*$P$51</f>
        <v>1.3697115384615386</v>
      </c>
      <c r="J40" s="62">
        <f ca="1">IF($P$33="enero",'Base cotización por meses'!C85,IF($P$33="febrero",'Base cotización por meses'!D85,IF($P$33="marzo",'Base cotización por meses'!E85,IF($P$33="abril",'Base cotización por meses'!F85,IF($P$33="mayo",'Base cotización por meses'!G85,IF($P$33="junio",'Base cotización por meses'!H85,IF($P$33="julio",'Base cotización por meses'!I85,IF($P$33="agosto",'Base cotización por meses'!J85,IF($P$33="septiembre",'Base cotización por meses'!K85,IF($P$33="octubre",'Base cotización por meses'!L85,IF($P$33="noviembre",'Base cotización por meses'!M85,IF($P$33="diciembre",'Base cotización por meses'!N85,IF($P$33="media",'Base cotización por meses'!H40)))))))))))))*$P$39</f>
        <v>6.5746153846153845</v>
      </c>
      <c r="K40" s="62">
        <f ca="1">IF($P$33="enero",'Base cotización por meses'!C85,IF($P$33="febrero",'Base cotización por meses'!D85,IF($P$33="marzo",'Base cotización por meses'!E85,IF($P$33="abril",'Base cotización por meses'!F85,IF($P$33="mayo",'Base cotización por meses'!G85,IF($P$33="junio",'Base cotización por meses'!H85,IF($P$33="julio",'Base cotización por meses'!I85,IF($P$33="agosto",'Base cotización por meses'!J85,IF($P$33="septiembre",'Base cotización por meses'!K85,IF($P$33="octubre",'Base cotización por meses'!L85,IF($P$33="noviembre",'Base cotización por meses'!M85,IF($P$33="diciembre",'Base cotización por meses'!N85,IF($P$33="media",'Base cotización por meses'!H40)))))))))))))*$P$42</f>
        <v>10.044551282051282</v>
      </c>
      <c r="L40" s="62">
        <f ca="1">IF($P$33="enero",'Base cotización por meses'!C85,IF($P$33="febrero",'Base cotización por meses'!D85,IF($P$33="marzo",'Base cotización por meses'!E85,IF($P$33="abril",'Base cotización por meses'!F85,IF($P$33="mayo",'Base cotización por meses'!G85,IF($P$33="junio",'Base cotización por meses'!H85,IF($P$33="julio",'Base cotización por meses'!I85,IF($P$33="agosto",'Base cotización por meses'!J85,IF($P$33="septiembre",'Base cotización por meses'!K85,IF($P$33="octubre",'Base cotización por meses'!L85,IF($P$33="noviembre",'Base cotización por meses'!M85,IF($P$33="diciembre",'Base cotización por meses'!N85,IF($P$33="media",'Base cotización por meses'!H40)))))))))))))*$P$45</f>
        <v>1.0957692307692308</v>
      </c>
      <c r="M40" s="62">
        <f ca="1">IF($P$33="enero",'Base cotización por meses'!C85,IF($P$33="febrero",'Base cotización por meses'!D85,IF($P$33="marzo",'Base cotización por meses'!E85,IF($P$33="abril",'Base cotización por meses'!F85,IF($P$33="mayo",'Base cotización por meses'!G85,IF($P$33="junio",'Base cotización por meses'!H85,IF($P$33="julio",'Base cotización por meses'!I85,IF($P$33="agosto",'Base cotización por meses'!J85,IF($P$33="septiembre",'Base cotización por meses'!K85,IF($P$33="octubre",'Base cotización por meses'!L85,IF($P$33="noviembre",'Base cotización por meses'!M85,IF($P$33="diciembre",'Base cotización por meses'!N85,IF($P$33="media",'Base cotización por meses'!H40)))))))))))))*$P$48</f>
        <v>0.36525641025641026</v>
      </c>
      <c r="N40" s="50">
        <f t="shared" ca="1" si="2"/>
        <v>245.1783653846154</v>
      </c>
      <c r="O40" s="10"/>
    </row>
    <row r="41" spans="2:20" ht="16" customHeight="1" thickBot="1">
      <c r="B41" s="3">
        <v>4</v>
      </c>
      <c r="C41" s="9">
        <f t="shared" si="3"/>
        <v>91.01333333333335</v>
      </c>
      <c r="D41" s="9">
        <f t="shared" si="4"/>
        <v>8.6851282051282102</v>
      </c>
      <c r="E41" s="9">
        <f t="shared" ca="1" si="5"/>
        <v>13.357948717948723</v>
      </c>
      <c r="F41" s="9">
        <f t="shared" ca="1" si="0"/>
        <v>6.9533333333333189</v>
      </c>
      <c r="G41" s="9">
        <f t="shared" ca="1" si="1"/>
        <v>26.092820512820516</v>
      </c>
      <c r="H41" s="62">
        <f ca="1">IF($P$33="enero",'Base cotización por meses'!C86,IF($P$33="febrero",'Base cotización por meses'!D86,IF($P$33="marzo",'Base cotización por meses'!E86,IF($P$33="abril",'Base cotización por meses'!F86,IF($P$33="mayo",'Base cotización por meses'!G86,IF($P$33="junio",'Base cotización por meses'!H86,IF($P$33="julio",'Base cotización por meses'!I86,IF($P$33="agosto",'Base cotización por meses'!J86,IF($P$33="septiembre",'Base cotización por meses'!K86,IF($P$33="octubre",'Base cotización por meses'!L86,IF($P$33="noviembre",'Base cotización por meses'!M86,IF($P$33="diciembre",'Base cotización por meses'!N86,IF($P$33="media",'Base cotización por meses'!H41)))))))))))))*$P$36</f>
        <v>34.480205128205128</v>
      </c>
      <c r="I41" s="62">
        <f ca="1">IF($P$33="enero",'Base cotización por meses'!C86,IF($P$33="febrero",'Base cotización por meses'!D86,IF($P$33="marzo",'Base cotización por meses'!E86,IF($P$33="abril",'Base cotización por meses'!F86,IF($P$33="mayo",'Base cotización por meses'!G86,IF($P$33="junio",'Base cotización por meses'!H86,IF($P$33="julio",'Base cotización por meses'!I86,IF($P$33="agosto",'Base cotización por meses'!J86,IF($P$33="septiembre",'Base cotización por meses'!K86,IF($P$33="octubre",'Base cotización por meses'!L86,IF($P$33="noviembre",'Base cotización por meses'!M86,IF($P$33="diciembre",'Base cotización por meses'!N86,IF($P$33="media",'Base cotización por meses'!H41)))))))))))))*$P$51</f>
        <v>1.0957692307692308</v>
      </c>
      <c r="J41" s="62">
        <f ca="1">IF($P$33="enero",'Base cotización por meses'!C86,IF($P$33="febrero",'Base cotización por meses'!D86,IF($P$33="marzo",'Base cotización por meses'!E86,IF($P$33="abril",'Base cotización por meses'!F86,IF($P$33="mayo",'Base cotización por meses'!G86,IF($P$33="junio",'Base cotización por meses'!H86,IF($P$33="julio",'Base cotización por meses'!I86,IF($P$33="agosto",'Base cotización por meses'!J86,IF($P$33="septiembre",'Base cotización por meses'!K86,IF($P$33="octubre",'Base cotización por meses'!L86,IF($P$33="noviembre",'Base cotización por meses'!M86,IF($P$33="diciembre",'Base cotización por meses'!N86,IF($P$33="media",'Base cotización por meses'!H41)))))))))))))*$P$39</f>
        <v>5.2596923076923074</v>
      </c>
      <c r="K41" s="62">
        <f ca="1">IF($P$33="enero",'Base cotización por meses'!C86,IF($P$33="febrero",'Base cotización por meses'!D86,IF($P$33="marzo",'Base cotización por meses'!E86,IF($P$33="abril",'Base cotización por meses'!F86,IF($P$33="mayo",'Base cotización por meses'!G86,IF($P$33="junio",'Base cotización por meses'!H86,IF($P$33="julio",'Base cotización por meses'!I86,IF($P$33="agosto",'Base cotización por meses'!J86,IF($P$33="septiembre",'Base cotización por meses'!K86,IF($P$33="octubre",'Base cotización por meses'!L86,IF($P$33="noviembre",'Base cotización por meses'!M86,IF($P$33="diciembre",'Base cotización por meses'!N86,IF($P$33="media",'Base cotización por meses'!H41)))))))))))))*$P$42</f>
        <v>8.0356410256410271</v>
      </c>
      <c r="L41" s="62">
        <f ca="1">IF($P$33="enero",'Base cotización por meses'!C86,IF($P$33="febrero",'Base cotización por meses'!D86,IF($P$33="marzo",'Base cotización por meses'!E86,IF($P$33="abril",'Base cotización por meses'!F86,IF($P$33="mayo",'Base cotización por meses'!G86,IF($P$33="junio",'Base cotización por meses'!H86,IF($P$33="julio",'Base cotización por meses'!I86,IF($P$33="agosto",'Base cotización por meses'!J86,IF($P$33="septiembre",'Base cotización por meses'!K86,IF($P$33="octubre",'Base cotización por meses'!L86,IF($P$33="noviembre",'Base cotización por meses'!M86,IF($P$33="diciembre",'Base cotización por meses'!N86,IF($P$33="media",'Base cotización por meses'!H41)))))))))))))*$P$45</f>
        <v>0.87661538461538469</v>
      </c>
      <c r="M41" s="62">
        <f ca="1">IF($P$33="enero",'Base cotización por meses'!C86,IF($P$33="febrero",'Base cotización por meses'!D86,IF($P$33="marzo",'Base cotización por meses'!E86,IF($P$33="abril",'Base cotización por meses'!F86,IF($P$33="mayo",'Base cotización por meses'!G86,IF($P$33="junio",'Base cotización por meses'!H86,IF($P$33="julio",'Base cotización por meses'!I86,IF($P$33="agosto",'Base cotización por meses'!J86,IF($P$33="septiembre",'Base cotización por meses'!K86,IF($P$33="octubre",'Base cotización por meses'!L86,IF($P$33="noviembre",'Base cotización por meses'!M86,IF($P$33="diciembre",'Base cotización por meses'!N86,IF($P$33="media",'Base cotización por meses'!H41)))))))))))))*$P$48</f>
        <v>0.29220512820512823</v>
      </c>
      <c r="N41" s="50">
        <f t="shared" ca="1" si="2"/>
        <v>196.14269230769236</v>
      </c>
      <c r="O41" s="10"/>
      <c r="P41" s="190" t="s">
        <v>72</v>
      </c>
      <c r="Q41" s="165"/>
      <c r="R41" s="185"/>
    </row>
    <row r="42" spans="2:20">
      <c r="B42" s="3">
        <v>3</v>
      </c>
      <c r="C42" s="9">
        <f t="shared" si="3"/>
        <v>68.260000000000019</v>
      </c>
      <c r="D42" s="9">
        <f t="shared" si="4"/>
        <v>6.5138461538461581</v>
      </c>
      <c r="E42" s="9">
        <f t="shared" ca="1" si="5"/>
        <v>10.018461538461542</v>
      </c>
      <c r="F42" s="9">
        <f t="shared" ca="1" si="0"/>
        <v>5.2149999999999892</v>
      </c>
      <c r="G42" s="9">
        <f t="shared" ca="1" si="1"/>
        <v>19.569615384615389</v>
      </c>
      <c r="H42" s="62">
        <f ca="1">IF($P$33="enero",'Base cotización por meses'!C87,IF($P$33="febrero",'Base cotización por meses'!D87,IF($P$33="marzo",'Base cotización por meses'!E87,IF($P$33="abril",'Base cotización por meses'!F87,IF($P$33="mayo",'Base cotización por meses'!G87,IF($P$33="junio",'Base cotización por meses'!H87,IF($P$33="julio",'Base cotización por meses'!I87,IF($P$33="agosto",'Base cotización por meses'!J87,IF($P$33="septiembre",'Base cotización por meses'!K87,IF($P$33="octubre",'Base cotización por meses'!L87,IF($P$33="noviembre",'Base cotización por meses'!M87,IF($P$33="diciembre",'Base cotización por meses'!N87,IF($P$33="media",'Base cotización por meses'!H42)))))))))))))*$P$36</f>
        <v>25.86015384615385</v>
      </c>
      <c r="I42" s="62">
        <f ca="1">IF($P$33="enero",'Base cotización por meses'!C87,IF($P$33="febrero",'Base cotización por meses'!D87,IF($P$33="marzo",'Base cotización por meses'!E87,IF($P$33="abril",'Base cotización por meses'!F87,IF($P$33="mayo",'Base cotización por meses'!G87,IF($P$33="junio",'Base cotización por meses'!H87,IF($P$33="julio",'Base cotización por meses'!I87,IF($P$33="agosto",'Base cotización por meses'!J87,IF($P$33="septiembre",'Base cotización por meses'!K87,IF($P$33="octubre",'Base cotización por meses'!L87,IF($P$33="noviembre",'Base cotización por meses'!M87,IF($P$33="diciembre",'Base cotización por meses'!N87,IF($P$33="media",'Base cotización por meses'!H42)))))))))))))*$P$51</f>
        <v>0.82182692307692318</v>
      </c>
      <c r="J42" s="62">
        <f ca="1">IF($P$33="enero",'Base cotización por meses'!C87,IF($P$33="febrero",'Base cotización por meses'!D87,IF($P$33="marzo",'Base cotización por meses'!E87,IF($P$33="abril",'Base cotización por meses'!F87,IF($P$33="mayo",'Base cotización por meses'!G87,IF($P$33="junio",'Base cotización por meses'!H87,IF($P$33="julio",'Base cotización por meses'!I87,IF($P$33="agosto",'Base cotización por meses'!J87,IF($P$33="septiembre",'Base cotización por meses'!K87,IF($P$33="octubre",'Base cotización por meses'!L87,IF($P$33="noviembre",'Base cotización por meses'!M87,IF($P$33="diciembre",'Base cotización por meses'!N87,IF($P$33="media",'Base cotización por meses'!H42)))))))))))))*$P$39</f>
        <v>3.9447692307692312</v>
      </c>
      <c r="K42" s="62">
        <f ca="1">IF($P$33="enero",'Base cotización por meses'!C87,IF($P$33="febrero",'Base cotización por meses'!D87,IF($P$33="marzo",'Base cotización por meses'!E87,IF($P$33="abril",'Base cotización por meses'!F87,IF($P$33="mayo",'Base cotización por meses'!G87,IF($P$33="junio",'Base cotización por meses'!H87,IF($P$33="julio",'Base cotización por meses'!I87,IF($P$33="agosto",'Base cotización por meses'!J87,IF($P$33="septiembre",'Base cotización por meses'!K87,IF($P$33="octubre",'Base cotización por meses'!L87,IF($P$33="noviembre",'Base cotización por meses'!M87,IF($P$33="diciembre",'Base cotización por meses'!N87,IF($P$33="media",'Base cotización por meses'!H42)))))))))))))*$P$42</f>
        <v>6.0267307692307703</v>
      </c>
      <c r="L42" s="62">
        <f ca="1">IF($P$33="enero",'Base cotización por meses'!C87,IF($P$33="febrero",'Base cotización por meses'!D87,IF($P$33="marzo",'Base cotización por meses'!E87,IF($P$33="abril",'Base cotización por meses'!F87,IF($P$33="mayo",'Base cotización por meses'!G87,IF($P$33="junio",'Base cotización por meses'!H87,IF($P$33="julio",'Base cotización por meses'!I87,IF($P$33="agosto",'Base cotización por meses'!J87,IF($P$33="septiembre",'Base cotización por meses'!K87,IF($P$33="octubre",'Base cotización por meses'!L87,IF($P$33="noviembre",'Base cotización por meses'!M87,IF($P$33="diciembre",'Base cotización por meses'!N87,IF($P$33="media",'Base cotización por meses'!H42)))))))))))))*$P$45</f>
        <v>0.65746153846153854</v>
      </c>
      <c r="M42" s="62">
        <f ca="1">IF($P$33="enero",'Base cotización por meses'!C87,IF($P$33="febrero",'Base cotización por meses'!D87,IF($P$33="marzo",'Base cotización por meses'!E87,IF($P$33="abril",'Base cotización por meses'!F87,IF($P$33="mayo",'Base cotización por meses'!G87,IF($P$33="junio",'Base cotización por meses'!H87,IF($P$33="julio",'Base cotización por meses'!I87,IF($P$33="agosto",'Base cotización por meses'!J87,IF($P$33="septiembre",'Base cotización por meses'!K87,IF($P$33="octubre",'Base cotización por meses'!L87,IF($P$33="noviembre",'Base cotización por meses'!M87,IF($P$33="diciembre",'Base cotización por meses'!N87,IF($P$33="media",'Base cotización por meses'!H42)))))))))))))*$P$48</f>
        <v>0.2191538461538462</v>
      </c>
      <c r="N42" s="50">
        <f t="shared" ca="1" si="2"/>
        <v>147.10701923076925</v>
      </c>
      <c r="P42" s="189">
        <v>5.5E-2</v>
      </c>
      <c r="Q42" s="187"/>
      <c r="R42" s="188"/>
      <c r="S42" s="88" t="s">
        <v>70</v>
      </c>
    </row>
    <row r="43" spans="2:20" ht="16" customHeight="1" thickBot="1">
      <c r="B43" s="3">
        <v>2</v>
      </c>
      <c r="C43" s="9">
        <f t="shared" si="3"/>
        <v>45.506666666666675</v>
      </c>
      <c r="D43" s="9">
        <f t="shared" si="4"/>
        <v>4.3425641025641051</v>
      </c>
      <c r="E43" s="9">
        <f t="shared" ca="1" si="5"/>
        <v>6.6789743589743615</v>
      </c>
      <c r="F43" s="9">
        <f t="shared" ca="1" si="0"/>
        <v>3.4766666666666595</v>
      </c>
      <c r="G43" s="9">
        <f t="shared" ca="1" si="1"/>
        <v>13.046410256410258</v>
      </c>
      <c r="H43" s="62">
        <f ca="1">IF($P$33="enero",'Base cotización por meses'!C88,IF($P$33="febrero",'Base cotización por meses'!D88,IF($P$33="marzo",'Base cotización por meses'!E88,IF($P$33="abril",'Base cotización por meses'!F88,IF($P$33="mayo",'Base cotización por meses'!G88,IF($P$33="junio",'Base cotización por meses'!H88,IF($P$33="julio",'Base cotización por meses'!I88,IF($P$33="agosto",'Base cotización por meses'!J88,IF($P$33="septiembre",'Base cotización por meses'!K88,IF($P$33="octubre",'Base cotización por meses'!L88,IF($P$33="noviembre",'Base cotización por meses'!M88,IF($P$33="diciembre",'Base cotización por meses'!N88,IF($P$33="media",'Base cotización por meses'!H43)))))))))))))*$P$36</f>
        <v>17.240102564102564</v>
      </c>
      <c r="I43" s="62">
        <f ca="1">IF($P$33="enero",'Base cotización por meses'!C88,IF($P$33="febrero",'Base cotización por meses'!D88,IF($P$33="marzo",'Base cotización por meses'!E88,IF($P$33="abril",'Base cotización por meses'!F88,IF($P$33="mayo",'Base cotización por meses'!G88,IF($P$33="junio",'Base cotización por meses'!H88,IF($P$33="julio",'Base cotización por meses'!I88,IF($P$33="agosto",'Base cotización por meses'!J88,IF($P$33="septiembre",'Base cotización por meses'!K88,IF($P$33="octubre",'Base cotización por meses'!L88,IF($P$33="noviembre",'Base cotización por meses'!M88,IF($P$33="diciembre",'Base cotización por meses'!N88,IF($P$33="media",'Base cotización por meses'!H43)))))))))))))*$P$51</f>
        <v>0.54788461538461541</v>
      </c>
      <c r="J43" s="62">
        <f ca="1">IF($P$33="enero",'Base cotización por meses'!C88,IF($P$33="febrero",'Base cotización por meses'!D88,IF($P$33="marzo",'Base cotización por meses'!E88,IF($P$33="abril",'Base cotización por meses'!F88,IF($P$33="mayo",'Base cotización por meses'!G88,IF($P$33="junio",'Base cotización por meses'!H88,IF($P$33="julio",'Base cotización por meses'!I88,IF($P$33="agosto",'Base cotización por meses'!J88,IF($P$33="septiembre",'Base cotización por meses'!K88,IF($P$33="octubre",'Base cotización por meses'!L88,IF($P$33="noviembre",'Base cotización por meses'!M88,IF($P$33="diciembre",'Base cotización por meses'!N88,IF($P$33="media",'Base cotización por meses'!H43)))))))))))))*$P$39</f>
        <v>2.6298461538461537</v>
      </c>
      <c r="K43" s="62">
        <f ca="1">IF($P$33="enero",'Base cotización por meses'!C88,IF($P$33="febrero",'Base cotización por meses'!D88,IF($P$33="marzo",'Base cotización por meses'!E88,IF($P$33="abril",'Base cotización por meses'!F88,IF($P$33="mayo",'Base cotización por meses'!G88,IF($P$33="junio",'Base cotización por meses'!H88,IF($P$33="julio",'Base cotización por meses'!I88,IF($P$33="agosto",'Base cotización por meses'!J88,IF($P$33="septiembre",'Base cotización por meses'!K88,IF($P$33="octubre",'Base cotización por meses'!L88,IF($P$33="noviembre",'Base cotización por meses'!M88,IF($P$33="diciembre",'Base cotización por meses'!N88,IF($P$33="media",'Base cotización por meses'!H43)))))))))))))*$P$42</f>
        <v>4.0178205128205136</v>
      </c>
      <c r="L43" s="62">
        <f ca="1">IF($P$33="enero",'Base cotización por meses'!C88,IF($P$33="febrero",'Base cotización por meses'!D88,IF($P$33="marzo",'Base cotización por meses'!E88,IF($P$33="abril",'Base cotización por meses'!F88,IF($P$33="mayo",'Base cotización por meses'!G88,IF($P$33="junio",'Base cotización por meses'!H88,IF($P$33="julio",'Base cotización por meses'!I88,IF($P$33="agosto",'Base cotización por meses'!J88,IF($P$33="septiembre",'Base cotización por meses'!K88,IF($P$33="octubre",'Base cotización por meses'!L88,IF($P$33="noviembre",'Base cotización por meses'!M88,IF($P$33="diciembre",'Base cotización por meses'!N88,IF($P$33="media",'Base cotización por meses'!H43)))))))))))))*$P$45</f>
        <v>0.43830769230769234</v>
      </c>
      <c r="M43" s="62">
        <f ca="1">IF($P$33="enero",'Base cotización por meses'!C88,IF($P$33="febrero",'Base cotización por meses'!D88,IF($P$33="marzo",'Base cotización por meses'!E88,IF($P$33="abril",'Base cotización por meses'!F88,IF($P$33="mayo",'Base cotización por meses'!G88,IF($P$33="junio",'Base cotización por meses'!H88,IF($P$33="julio",'Base cotización por meses'!I88,IF($P$33="agosto",'Base cotización por meses'!J88,IF($P$33="septiembre",'Base cotización por meses'!K88,IF($P$33="octubre",'Base cotización por meses'!L88,IF($P$33="noviembre",'Base cotización por meses'!M88,IF($P$33="diciembre",'Base cotización por meses'!N88,IF($P$33="media",'Base cotización por meses'!H43)))))))))))))*$P$48</f>
        <v>0.14610256410256411</v>
      </c>
      <c r="N43" s="50">
        <f t="shared" ca="1" si="2"/>
        <v>98.071346153846179</v>
      </c>
    </row>
    <row r="44" spans="2:20" ht="16" customHeight="1" thickBot="1">
      <c r="B44" s="3">
        <v>1</v>
      </c>
      <c r="C44" s="9">
        <f t="shared" si="3"/>
        <v>22.753333333333337</v>
      </c>
      <c r="D44" s="9">
        <f t="shared" si="4"/>
        <v>2.1712820512820525</v>
      </c>
      <c r="E44" s="9">
        <f t="shared" ca="1" si="5"/>
        <v>3.3394871794871808</v>
      </c>
      <c r="F44" s="9">
        <f t="shared" ca="1" si="0"/>
        <v>1.7383333333333297</v>
      </c>
      <c r="G44" s="9">
        <f t="shared" ca="1" si="1"/>
        <v>6.5232051282051291</v>
      </c>
      <c r="H44" s="62">
        <f ca="1">IF($P$33="enero",'Base cotización por meses'!C89,IF($P$33="febrero",'Base cotización por meses'!D89,IF($P$33="marzo",'Base cotización por meses'!E89,IF($P$33="abril",'Base cotización por meses'!F89,IF($P$33="mayo",'Base cotización por meses'!G89,IF($P$33="junio",'Base cotización por meses'!H89,IF($P$33="julio",'Base cotización por meses'!I89,IF($P$33="agosto",'Base cotización por meses'!J89,IF($P$33="septiembre",'Base cotización por meses'!K89,IF($P$33="octubre",'Base cotización por meses'!L89,IF($P$33="noviembre",'Base cotización por meses'!M89,IF($P$33="diciembre",'Base cotización por meses'!N89,IF($P$33="media",'Base cotización por meses'!H44)))))))))))))*$P$36</f>
        <v>8.620051282051282</v>
      </c>
      <c r="I44" s="62">
        <f ca="1">IF($P$33="enero",'Base cotización por meses'!C89,IF($P$33="febrero",'Base cotización por meses'!D89,IF($P$33="marzo",'Base cotización por meses'!E89,IF($P$33="abril",'Base cotización por meses'!F89,IF($P$33="mayo",'Base cotización por meses'!G89,IF($P$33="junio",'Base cotización por meses'!H89,IF($P$33="julio",'Base cotización por meses'!I89,IF($P$33="agosto",'Base cotización por meses'!J89,IF($P$33="septiembre",'Base cotización por meses'!K89,IF($P$33="octubre",'Base cotización por meses'!L89,IF($P$33="noviembre",'Base cotización por meses'!M89,IF($P$33="diciembre",'Base cotización por meses'!N89,IF($P$33="media",'Base cotización por meses'!H44)))))))))))))*$P$51</f>
        <v>0.27394230769230771</v>
      </c>
      <c r="J44" s="62">
        <f ca="1">IF($P$33="enero",'Base cotización por meses'!C89,IF($P$33="febrero",'Base cotización por meses'!D89,IF($P$33="marzo",'Base cotización por meses'!E89,IF($P$33="abril",'Base cotización por meses'!F89,IF($P$33="mayo",'Base cotización por meses'!G89,IF($P$33="junio",'Base cotización por meses'!H89,IF($P$33="julio",'Base cotización por meses'!I89,IF($P$33="agosto",'Base cotización por meses'!J89,IF($P$33="septiembre",'Base cotización por meses'!K89,IF($P$33="octubre",'Base cotización por meses'!L89,IF($P$33="noviembre",'Base cotización por meses'!M89,IF($P$33="diciembre",'Base cotización por meses'!N89,IF($P$33="media",'Base cotización por meses'!H44)))))))))))))*$P$39</f>
        <v>1.3149230769230769</v>
      </c>
      <c r="K44" s="62">
        <f ca="1">IF($P$33="enero",'Base cotización por meses'!C89,IF($P$33="febrero",'Base cotización por meses'!D89,IF($P$33="marzo",'Base cotización por meses'!E89,IF($P$33="abril",'Base cotización por meses'!F89,IF($P$33="mayo",'Base cotización por meses'!G89,IF($P$33="junio",'Base cotización por meses'!H89,IF($P$33="julio",'Base cotización por meses'!I89,IF($P$33="agosto",'Base cotización por meses'!J89,IF($P$33="septiembre",'Base cotización por meses'!K89,IF($P$33="octubre",'Base cotización por meses'!L89,IF($P$33="noviembre",'Base cotización por meses'!M89,IF($P$33="diciembre",'Base cotización por meses'!N89,IF($P$33="media",'Base cotización por meses'!H44)))))))))))))*$P$42</f>
        <v>2.0089102564102568</v>
      </c>
      <c r="L44" s="62">
        <f ca="1">IF($P$33="enero",'Base cotización por meses'!C89,IF($P$33="febrero",'Base cotización por meses'!D89,IF($P$33="marzo",'Base cotización por meses'!E89,IF($P$33="abril",'Base cotización por meses'!F89,IF($P$33="mayo",'Base cotización por meses'!G89,IF($P$33="junio",'Base cotización por meses'!H89,IF($P$33="julio",'Base cotización por meses'!I89,IF($P$33="agosto",'Base cotización por meses'!J89,IF($P$33="septiembre",'Base cotización por meses'!K89,IF($P$33="octubre",'Base cotización por meses'!L89,IF($P$33="noviembre",'Base cotización por meses'!M89,IF($P$33="diciembre",'Base cotización por meses'!N89,IF($P$33="media",'Base cotización por meses'!H44)))))))))))))*$P$45</f>
        <v>0.21915384615384617</v>
      </c>
      <c r="M44" s="62">
        <f ca="1">IF($P$33="enero",'Base cotización por meses'!C89,IF($P$33="febrero",'Base cotización por meses'!D89,IF($P$33="marzo",'Base cotización por meses'!E89,IF($P$33="abril",'Base cotización por meses'!F89,IF($P$33="mayo",'Base cotización por meses'!G89,IF($P$33="junio",'Base cotización por meses'!H89,IF($P$33="julio",'Base cotización por meses'!I89,IF($P$33="agosto",'Base cotización por meses'!J89,IF($P$33="septiembre",'Base cotización por meses'!K89,IF($P$33="octubre",'Base cotización por meses'!L89,IF($P$33="noviembre",'Base cotización por meses'!M89,IF($P$33="diciembre",'Base cotización por meses'!N89,IF($P$33="media",'Base cotización por meses'!H44)))))))))))))*$P$48</f>
        <v>7.3051282051282057E-2</v>
      </c>
      <c r="N44" s="51">
        <f t="shared" ca="1" si="2"/>
        <v>49.035673076923089</v>
      </c>
      <c r="O44" s="10"/>
      <c r="P44" s="190" t="s">
        <v>73</v>
      </c>
      <c r="Q44" s="165"/>
      <c r="R44" s="185"/>
    </row>
    <row r="45" spans="2:20">
      <c r="B45" s="3"/>
      <c r="C45" s="9"/>
      <c r="D45" s="9"/>
      <c r="E45" s="9"/>
      <c r="F45" s="9"/>
      <c r="G45" s="9"/>
      <c r="H45" s="62"/>
      <c r="I45" s="62"/>
      <c r="J45" s="62"/>
      <c r="K45" s="62"/>
      <c r="L45" s="62"/>
      <c r="M45" s="62"/>
      <c r="P45" s="189">
        <v>6.0000000000000001E-3</v>
      </c>
      <c r="Q45" s="187"/>
      <c r="R45" s="188"/>
      <c r="S45" s="88" t="s">
        <v>70</v>
      </c>
    </row>
    <row r="46" spans="2:20" ht="16" customHeight="1" thickBot="1"/>
    <row r="47" spans="2:20" ht="16" customHeight="1" thickBot="1">
      <c r="N47" s="10"/>
      <c r="P47" s="190" t="s">
        <v>74</v>
      </c>
      <c r="Q47" s="165"/>
      <c r="R47" s="185"/>
    </row>
    <row r="48" spans="2:20">
      <c r="G48" s="10"/>
      <c r="H48" s="69"/>
      <c r="I48" s="69"/>
      <c r="P48" s="189">
        <v>2E-3</v>
      </c>
      <c r="Q48" s="187"/>
      <c r="R48" s="188"/>
      <c r="S48" s="88" t="s">
        <v>70</v>
      </c>
    </row>
    <row r="49" spans="4:19" ht="16" customHeight="1" thickBot="1">
      <c r="G49" s="69"/>
      <c r="H49" s="72"/>
      <c r="I49" s="72"/>
    </row>
    <row r="50" spans="4:19" ht="16" customHeight="1" thickBot="1">
      <c r="D50" s="10"/>
      <c r="G50" s="69"/>
      <c r="P50" s="190" t="s">
        <v>75</v>
      </c>
      <c r="Q50" s="165"/>
      <c r="R50" s="185"/>
    </row>
    <row r="51" spans="4:19">
      <c r="D51" s="10"/>
      <c r="G51" s="69"/>
      <c r="P51" s="189">
        <v>7.4999999999999997E-3</v>
      </c>
      <c r="Q51" s="187"/>
      <c r="R51" s="188"/>
      <c r="S51" s="88" t="s">
        <v>70</v>
      </c>
    </row>
    <row r="52" spans="4:19">
      <c r="G52" s="69"/>
    </row>
    <row r="53" spans="4:19">
      <c r="D53" s="10"/>
      <c r="G53" s="69"/>
    </row>
    <row r="54" spans="4:19">
      <c r="D54" s="10"/>
      <c r="G54" s="69"/>
    </row>
    <row r="55" spans="4:19">
      <c r="G55" s="69"/>
    </row>
    <row r="56" spans="4:19">
      <c r="G56" s="69"/>
    </row>
    <row r="57" spans="4:19">
      <c r="G57" s="69"/>
    </row>
    <row r="58" spans="4:19">
      <c r="G58" s="69"/>
    </row>
    <row r="59" spans="4:19">
      <c r="G59" s="69"/>
    </row>
  </sheetData>
  <mergeCells count="19">
    <mergeCell ref="P51:R51"/>
    <mergeCell ref="P38:R38"/>
    <mergeCell ref="P11:S11"/>
    <mergeCell ref="P29:R29"/>
    <mergeCell ref="P41:R41"/>
    <mergeCell ref="P50:R50"/>
    <mergeCell ref="P36:R36"/>
    <mergeCell ref="P12:S12"/>
    <mergeCell ref="P48:R48"/>
    <mergeCell ref="P39:R39"/>
    <mergeCell ref="P32:R32"/>
    <mergeCell ref="P47:R47"/>
    <mergeCell ref="P30:R30"/>
    <mergeCell ref="P33:R33"/>
    <mergeCell ref="P42:R42"/>
    <mergeCell ref="P45:R45"/>
    <mergeCell ref="P35:R35"/>
    <mergeCell ref="H4:M4"/>
    <mergeCell ref="P44:R44"/>
  </mergeCell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B2:Z65"/>
  <sheetViews>
    <sheetView zoomScale="89" zoomScaleNormal="60" workbookViewId="0">
      <selection activeCell="X18" sqref="X18"/>
    </sheetView>
  </sheetViews>
  <sheetFormatPr baseColWidth="10" defaultColWidth="11.5" defaultRowHeight="15"/>
  <cols>
    <col min="1" max="2" width="11.5" style="11" customWidth="1"/>
    <col min="3" max="3" width="17.33203125" style="11" bestFit="1" customWidth="1"/>
    <col min="4" max="4" width="14.1640625" style="11" bestFit="1" customWidth="1"/>
    <col min="5" max="5" width="11.5" style="11" customWidth="1"/>
    <col min="6" max="6" width="17.33203125" style="11" bestFit="1" customWidth="1"/>
    <col min="7" max="7" width="11.83203125" style="11" bestFit="1" customWidth="1"/>
    <col min="8" max="8" width="14.33203125" style="54" bestFit="1" customWidth="1"/>
    <col min="9" max="9" width="14.33203125" style="54" customWidth="1"/>
    <col min="10" max="10" width="13.1640625" style="11" customWidth="1"/>
    <col min="11" max="11" width="11.33203125" style="11" customWidth="1"/>
    <col min="12" max="12" width="15.5" style="11" customWidth="1"/>
    <col min="13" max="13" width="15.5" style="11" bestFit="1" customWidth="1"/>
    <col min="14" max="17" width="15.5" style="11" customWidth="1"/>
    <col min="18" max="18" width="13.83203125" style="11" customWidth="1"/>
    <col min="19" max="19" width="16.83203125" style="11" customWidth="1"/>
    <col min="20" max="20" width="13.83203125" style="11" customWidth="1"/>
    <col min="21" max="21" width="15.5" style="11" bestFit="1" customWidth="1"/>
    <col min="22" max="22" width="12.5" style="11" bestFit="1" customWidth="1"/>
    <col min="23" max="24" width="11.5" style="11" customWidth="1"/>
    <col min="25" max="25" width="14" style="11" bestFit="1" customWidth="1"/>
    <col min="26" max="26" width="11.5" style="11" customWidth="1"/>
    <col min="27" max="16384" width="11.5" style="11"/>
  </cols>
  <sheetData>
    <row r="2" spans="2:25" ht="16" customHeight="1" thickBot="1">
      <c r="B2" s="52" t="s">
        <v>38</v>
      </c>
      <c r="C2" s="53"/>
      <c r="D2" s="53"/>
      <c r="S2" s="10"/>
    </row>
    <row r="3" spans="2:25" ht="16" customHeight="1" thickBot="1">
      <c r="B3" s="55"/>
      <c r="U3" s="8"/>
      <c r="V3" s="56" t="s">
        <v>39</v>
      </c>
      <c r="W3" s="10"/>
      <c r="X3" s="10"/>
    </row>
    <row r="4" spans="2:25" ht="16" customHeight="1" thickBot="1">
      <c r="H4" s="191" t="s">
        <v>40</v>
      </c>
      <c r="I4" s="192"/>
      <c r="J4" s="192"/>
      <c r="K4" s="192"/>
      <c r="L4" s="192"/>
      <c r="M4" s="192"/>
      <c r="N4" s="197" t="s">
        <v>76</v>
      </c>
      <c r="O4" s="192"/>
      <c r="P4" s="192"/>
      <c r="Q4" s="192"/>
      <c r="V4" s="56" t="s">
        <v>41</v>
      </c>
    </row>
    <row r="5" spans="2:25" ht="49" customHeight="1" thickBot="1">
      <c r="B5" s="57" t="s">
        <v>42</v>
      </c>
      <c r="C5" s="58" t="s">
        <v>43</v>
      </c>
      <c r="D5" s="57" t="s">
        <v>44</v>
      </c>
      <c r="E5" s="58" t="s">
        <v>27</v>
      </c>
      <c r="F5" s="57" t="s">
        <v>45</v>
      </c>
      <c r="G5" s="58" t="s">
        <v>46</v>
      </c>
      <c r="H5" s="59" t="s">
        <v>47</v>
      </c>
      <c r="I5" s="59" t="s">
        <v>48</v>
      </c>
      <c r="J5" s="60" t="s">
        <v>26</v>
      </c>
      <c r="K5" s="60" t="s">
        <v>49</v>
      </c>
      <c r="L5" s="59" t="s">
        <v>50</v>
      </c>
      <c r="M5" s="59" t="s">
        <v>51</v>
      </c>
      <c r="N5" s="78" t="s">
        <v>47</v>
      </c>
      <c r="O5" s="73" t="s">
        <v>48</v>
      </c>
      <c r="P5" s="73" t="s">
        <v>77</v>
      </c>
      <c r="Q5" s="73" t="s">
        <v>49</v>
      </c>
      <c r="R5" s="80" t="s">
        <v>52</v>
      </c>
      <c r="S5" s="84" t="s">
        <v>78</v>
      </c>
    </row>
    <row r="6" spans="2:25" ht="16" customHeight="1" thickBot="1">
      <c r="B6" s="3">
        <v>39</v>
      </c>
      <c r="C6" s="48">
        <f>Costes_26!C6</f>
        <v>887.38</v>
      </c>
      <c r="D6" s="48">
        <f>Costes_26!D6</f>
        <v>84.68</v>
      </c>
      <c r="E6" s="9">
        <f ca="1">16.28*V8</f>
        <v>130.24</v>
      </c>
      <c r="F6" s="9">
        <f t="shared" ref="F6:F44" ca="1" si="0">(($U$12/39)*B6)-(C6+D6+E6+G6)</f>
        <v>67.7950000000003</v>
      </c>
      <c r="G6" s="9">
        <f t="shared" ref="G6:G44" ca="1" si="1">((C6+E6)/360)*30*3</f>
        <v>254.40499999999997</v>
      </c>
      <c r="H6" s="62">
        <f ca="1">IF($U$33="enero",'Base cotización por meses'!C51,IF($U$33="febrero",'Base cotización por meses'!D51,IF($U$33="marzo",'Base cotización por meses'!E51,IF($U$33="abril",'Base cotización por meses'!F51,IF($U$33="mayo",'Base cotización por meses'!G51,IF($U$33="junio",'Base cotización por meses'!H51,IF($U$33="julio",'Base cotización por meses'!I51,IF($U$33="agosto",'Base cotización por meses'!J51,IF($U$33="septiembre",'Base cotización por meses'!K51,IF($U$33="octubre",'Base cotización por meses'!L51,IF($U$33="noviembre",'Base cotización por meses'!M51,IF($U$33="diciembre",'Base cotización por meses'!N51,IF($U$33="media",'Base cotización por meses'!H6)))))))))))))*$U$36</f>
        <v>336.18200000000002</v>
      </c>
      <c r="I6" s="62">
        <f ca="1">IF($U$33="enero",'Base cotización por meses'!C51,IF($U$33="febrero",'Base cotización por meses'!D51,IF($U$33="marzo",'Base cotización por meses'!E51,IF($U$33="abril",'Base cotización por meses'!F51,IF($U$33="mayo",'Base cotización por meses'!G51,IF($U$33="junio",'Base cotización por meses'!H51,IF($U$33="julio",'Base cotización por meses'!I51,IF($U$33="agosto",'Base cotización por meses'!J51,IF($U$33="septiembre",'Base cotización por meses'!K51,IF($U$33="octubre",'Base cotización por meses'!L51,IF($U$33="noviembre",'Base cotización por meses'!M51,IF($U$33="diciembre",'Base cotización por meses'!N51,IF($U$33="media",'Base cotización por meses'!H6)))))))))))))*$U$51</f>
        <v>10.683750000000002</v>
      </c>
      <c r="J6" s="62">
        <f ca="1">IF($U$33="enero",'Base cotización por meses'!C51,IF($U$33="febrero",'Base cotización por meses'!D51,IF($U$33="marzo",'Base cotización por meses'!E51,IF($U$33="abril",'Base cotización por meses'!F51,IF($U$33="mayo",'Base cotización por meses'!G51,IF($U$33="junio",'Base cotización por meses'!H51,IF($U$33="julio",'Base cotización por meses'!I51,IF($U$33="agosto",'Base cotización por meses'!J51,IF($U$33="septiembre",'Base cotización por meses'!K51,IF($U$33="octubre",'Base cotización por meses'!L51,IF($U$33="noviembre",'Base cotización por meses'!M51,IF($U$33="diciembre",'Base cotización por meses'!N51,IF($U$33="media",'Base cotización por meses'!H6)))))))))))))*$U$39</f>
        <v>51.282000000000004</v>
      </c>
      <c r="K6" s="62">
        <f ca="1">IF($U$33="enero",'Base cotización por meses'!C51,IF($U$33="febrero",'Base cotización por meses'!D51,IF($U$33="marzo",'Base cotización por meses'!E51,IF($U$33="abril",'Base cotización por meses'!F51,IF($U$33="mayo",'Base cotización por meses'!G51,IF($U$33="junio",'Base cotización por meses'!H51,IF($U$33="julio",'Base cotización por meses'!I51,IF($U$33="agosto",'Base cotización por meses'!J51,IF($U$33="septiembre",'Base cotización por meses'!K51,IF($U$33="octubre",'Base cotización por meses'!L51,IF($U$33="noviembre",'Base cotización por meses'!M51,IF($U$33="diciembre",'Base cotización por meses'!N51,IF($U$33="media",'Base cotización por meses'!H6)))))))))))))*$U$42</f>
        <v>78.347500000000011</v>
      </c>
      <c r="L6" s="62">
        <f ca="1">IF($U$33="enero",'Base cotización por meses'!C51,IF($U$33="febrero",'Base cotización por meses'!D51,IF($U$33="marzo",'Base cotización por meses'!E51,IF($U$33="abril",'Base cotización por meses'!F51,IF($U$33="mayo",'Base cotización por meses'!G51,IF($U$33="junio",'Base cotización por meses'!H51,IF($U$33="julio",'Base cotización por meses'!I51,IF($U$33="agosto",'Base cotización por meses'!J51,IF($U$33="septiembre",'Base cotización por meses'!K51,IF($U$33="octubre",'Base cotización por meses'!L51,IF($U$33="noviembre",'Base cotización por meses'!M51,IF($U$33="diciembre",'Base cotización por meses'!N51,IF($U$33="media",'Base cotización por meses'!H6)))))))))))))*$U$45</f>
        <v>8.5470000000000024</v>
      </c>
      <c r="M6" s="62">
        <f ca="1">IF($U$33="enero",'Base cotización por meses'!C51,IF($U$33="febrero",'Base cotización por meses'!D51,IF($U$33="marzo",'Base cotización por meses'!E51,IF($U$33="abril",'Base cotización por meses'!F51,IF($U$33="mayo",'Base cotización por meses'!G51,IF($U$33="junio",'Base cotización por meses'!H51,IF($U$33="julio",'Base cotización por meses'!I51,IF($U$33="agosto",'Base cotización por meses'!J51,IF($U$33="septiembre",'Base cotización por meses'!K51,IF($U$33="octubre",'Base cotización por meses'!L51,IF($U$33="noviembre",'Base cotización por meses'!M51,IF($U$33="diciembre",'Base cotización por meses'!N51,IF($U$33="media",'Base cotización por meses'!H6)))))))))))))*$U$48</f>
        <v>2.8490000000000006</v>
      </c>
      <c r="N6" s="79">
        <f ca="1">IF($U$33="enero",'Base cotización por meses'!C51,IF($U$33="febrero",'Base cotización por meses'!D51,IF($U$33="marzo",'Base cotización por meses'!E51,IF($U$33="abril",'Base cotización por meses'!F51,IF($U$33="mayo",'Base cotización por meses'!G51,IF($U$33="junio",'Base cotización por meses'!H51,IF($U$33="julio",'Base cotización por meses'!I51,IF($U$33="agosto",'Base cotización por meses'!J51,IF($U$33="septiembre",'Base cotización por meses'!K51,IF($U$33="octubre",'Base cotización por meses'!L51,IF($U$33="noviembre",'Base cotización por meses'!M51,IF($U$33="diciembre",'Base cotización por meses'!N51,IF($U$33="media",'Base cotización por meses'!H6)))))))))))))*$U$56</f>
        <v>66.95150000000001</v>
      </c>
      <c r="O6" s="74">
        <f ca="1">IF($U$33="enero",'Base cotización por meses'!C51,IF($U$33="febrero",'Base cotización por meses'!D51,IF($U$33="marzo",'Base cotización por meses'!E51,IF($U$33="abril",'Base cotización por meses'!F51,IF($U$33="mayo",'Base cotización por meses'!G51,IF($U$33="junio",'Base cotización por meses'!H51,IF($U$33="julio",'Base cotización por meses'!I51,IF($U$33="agosto",'Base cotización por meses'!J51,IF($U$33="septiembre",'Base cotización por meses'!K51,IF($U$33="octubre",'Base cotización por meses'!L51,IF($U$33="noviembre",'Base cotización por meses'!M51,IF($U$33="diciembre",'Base cotización por meses'!N51,IF($U$33="media",'Base cotización por meses'!H6)))))))))))))*$U$65</f>
        <v>2.1367500000000006</v>
      </c>
      <c r="P6" s="74">
        <f ca="1">IF($U$33="enero",'Base cotización por meses'!C51,IF($U$33="febrero",'Base cotización por meses'!D51,IF($U$33="marzo",'Base cotización por meses'!E51,IF($U$33="abril",'Base cotización por meses'!F51,IF($U$33="mayo",'Base cotización por meses'!G51,IF($U$33="junio",'Base cotización por meses'!H51,IF($U$33="julio",'Base cotización por meses'!I51,IF($U$33="agosto",'Base cotización por meses'!J51,IF($U$33="septiembre",'Base cotización por meses'!K51,IF($U$33="octubre",'Base cotización por meses'!L51,IF($U$33="noviembre",'Base cotización por meses'!M51,IF($U$33="diciembre",'Base cotización por meses'!N51,IF($U$33="media",'Base cotización por meses'!H6)))))))))))))*$U$59</f>
        <v>1.4245000000000003</v>
      </c>
      <c r="Q6" s="74">
        <f ca="1">IF($U$33="enero",'Base cotización por meses'!C51,IF($U$33="febrero",'Base cotización por meses'!D51,IF($U$33="marzo",'Base cotización por meses'!E51,IF($U$33="abril",'Base cotización por meses'!F51,IF($U$33="mayo",'Base cotización por meses'!G51,IF($U$33="junio",'Base cotización por meses'!H51,IF($U$33="julio",'Base cotización por meses'!I51,IF($U$33="agosto",'Base cotización por meses'!J51,IF($U$33="septiembre",'Base cotización por meses'!K51,IF($U$33="octubre",'Base cotización por meses'!L51,IF($U$33="noviembre",'Base cotización por meses'!M51,IF($U$33="diciembre",'Base cotización por meses'!N51,IF($U$33="media",'Base cotización por meses'!H6)))))))))))))*$U$62</f>
        <v>22.079750000000004</v>
      </c>
      <c r="R6" s="81">
        <f t="shared" ref="R6:R44" ca="1" si="2">SUM(C6:M6)</f>
        <v>1912.3912500000001</v>
      </c>
      <c r="S6" s="85">
        <f t="shared" ref="S6:S44" ca="1" si="3">SUM(C6:G6)-SUM(N6:Q6)</f>
        <v>1331.9075000000003</v>
      </c>
      <c r="T6" s="2"/>
      <c r="U6" s="2"/>
      <c r="V6" s="2"/>
      <c r="W6" s="2"/>
      <c r="Y6" s="10"/>
    </row>
    <row r="7" spans="2:25" ht="16" customHeight="1" thickBot="1">
      <c r="B7" s="3">
        <v>38</v>
      </c>
      <c r="C7" s="9">
        <f t="shared" ref="C7:C44" si="4">(B7/B6)*C6</f>
        <v>864.62666666666667</v>
      </c>
      <c r="D7" s="9">
        <f t="shared" ref="D7:D44" si="5">(B7/B6)*D6</f>
        <v>82.508717948717958</v>
      </c>
      <c r="E7" s="9">
        <f t="shared" ref="E7:E44" ca="1" si="6">(B7/B6)*E6</f>
        <v>126.90051282051283</v>
      </c>
      <c r="F7" s="9">
        <f t="shared" ca="1" si="0"/>
        <v>66.056666666666843</v>
      </c>
      <c r="G7" s="9">
        <f t="shared" ca="1" si="1"/>
        <v>247.88179487179485</v>
      </c>
      <c r="H7" s="62">
        <f ca="1">IF($U$33="enero",'Base cotización por meses'!C52,IF($U$33="febrero",'Base cotización por meses'!D52,IF($U$33="marzo",'Base cotización por meses'!E52,IF($U$33="abril",'Base cotización por meses'!F52,IF($U$33="mayo",'Base cotización por meses'!G52,IF($U$33="junio",'Base cotización por meses'!H52,IF($U$33="julio",'Base cotización por meses'!I52,IF($U$33="agosto",'Base cotización por meses'!J52,IF($U$33="septiembre",'Base cotización por meses'!K52,IF($U$33="octubre",'Base cotización por meses'!L52,IF($U$33="noviembre",'Base cotización por meses'!M52,IF($U$33="diciembre",'Base cotización por meses'!N52,IF($U$33="media",'Base cotización por meses'!H7)))))))))))))*$U$36</f>
        <v>327.56194871794872</v>
      </c>
      <c r="I7" s="62">
        <f ca="1">IF($U$33="enero",'Base cotización por meses'!C52,IF($U$33="febrero",'Base cotización por meses'!D52,IF($U$33="marzo",'Base cotización por meses'!E52,IF($U$33="abril",'Base cotización por meses'!F52,IF($U$33="mayo",'Base cotización por meses'!G52,IF($U$33="junio",'Base cotización por meses'!H52,IF($U$33="julio",'Base cotización por meses'!I52,IF($U$33="agosto",'Base cotización por meses'!J52,IF($U$33="septiembre",'Base cotización por meses'!K52,IF($U$33="octubre",'Base cotización por meses'!L52,IF($U$33="noviembre",'Base cotización por meses'!M52,IF($U$33="diciembre",'Base cotización por meses'!N52,IF($U$33="media",'Base cotización por meses'!H7)))))))))))))*$U$51</f>
        <v>10.409807692307693</v>
      </c>
      <c r="J7" s="62">
        <f ca="1">IF($U$33="enero",'Base cotización por meses'!C52,IF($U$33="febrero",'Base cotización por meses'!D52,IF($U$33="marzo",'Base cotización por meses'!E52,IF($U$33="abril",'Base cotización por meses'!F52,IF($U$33="mayo",'Base cotización por meses'!G52,IF($U$33="junio",'Base cotización por meses'!H52,IF($U$33="julio",'Base cotización por meses'!I52,IF($U$33="agosto",'Base cotización por meses'!J52,IF($U$33="septiembre",'Base cotización por meses'!K52,IF($U$33="octubre",'Base cotización por meses'!L52,IF($U$33="noviembre",'Base cotización por meses'!M52,IF($U$33="diciembre",'Base cotización por meses'!N52,IF($U$33="media",'Base cotización por meses'!H7)))))))))))))*$U$39</f>
        <v>49.967076923076924</v>
      </c>
      <c r="K7" s="62">
        <f ca="1">IF($U$33="enero",'Base cotización por meses'!C52,IF($U$33="febrero",'Base cotización por meses'!D52,IF($U$33="marzo",'Base cotización por meses'!E52,IF($U$33="abril",'Base cotización por meses'!F52,IF($U$33="mayo",'Base cotización por meses'!G52,IF($U$33="junio",'Base cotización por meses'!H52,IF($U$33="julio",'Base cotización por meses'!I52,IF($U$33="agosto",'Base cotización por meses'!J52,IF($U$33="septiembre",'Base cotización por meses'!K52,IF($U$33="octubre",'Base cotización por meses'!L52,IF($U$33="noviembre",'Base cotización por meses'!M52,IF($U$33="diciembre",'Base cotización por meses'!N52,IF($U$33="media",'Base cotización por meses'!H7)))))))))))))*$U$42</f>
        <v>76.33858974358975</v>
      </c>
      <c r="L7" s="62">
        <f ca="1">IF($U$33="enero",'Base cotización por meses'!C52,IF($U$33="febrero",'Base cotización por meses'!D52,IF($U$33="marzo",'Base cotización por meses'!E52,IF($U$33="abril",'Base cotización por meses'!F52,IF($U$33="mayo",'Base cotización por meses'!G52,IF($U$33="junio",'Base cotización por meses'!H52,IF($U$33="julio",'Base cotización por meses'!I52,IF($U$33="agosto",'Base cotización por meses'!J52,IF($U$33="septiembre",'Base cotización por meses'!K52,IF($U$33="octubre",'Base cotización por meses'!L52,IF($U$33="noviembre",'Base cotización por meses'!M52,IF($U$33="diciembre",'Base cotización por meses'!N52,IF($U$33="media",'Base cotización por meses'!H7)))))))))))))*$U$45</f>
        <v>8.3278461538461546</v>
      </c>
      <c r="M7" s="62">
        <f ca="1">IF($U$33="enero",'Base cotización por meses'!C52,IF($U$33="febrero",'Base cotización por meses'!D52,IF($U$33="marzo",'Base cotización por meses'!E52,IF($U$33="abril",'Base cotización por meses'!F52,IF($U$33="mayo",'Base cotización por meses'!G52,IF($U$33="junio",'Base cotización por meses'!H52,IF($U$33="julio",'Base cotización por meses'!I52,IF($U$33="agosto",'Base cotización por meses'!J52,IF($U$33="septiembre",'Base cotización por meses'!K52,IF($U$33="octubre",'Base cotización por meses'!L52,IF($U$33="noviembre",'Base cotización por meses'!M52,IF($U$33="diciembre",'Base cotización por meses'!N52,IF($U$33="media",'Base cotización por meses'!H7)))))))))))))*$U$48</f>
        <v>2.7759487179487183</v>
      </c>
      <c r="N7" s="79">
        <f ca="1">IF($U$33="enero",'Base cotización por meses'!C52,IF($U$33="febrero",'Base cotización por meses'!D52,IF($U$33="marzo",'Base cotización por meses'!E52,IF($U$33="abril",'Base cotización por meses'!F52,IF($U$33="mayo",'Base cotización por meses'!G52,IF($U$33="junio",'Base cotización por meses'!H52,IF($U$33="julio",'Base cotización por meses'!I52,IF($U$33="agosto",'Base cotización por meses'!J52,IF($U$33="septiembre",'Base cotización por meses'!K52,IF($U$33="octubre",'Base cotización por meses'!L52,IF($U$33="noviembre",'Base cotización por meses'!M52,IF($U$33="diciembre",'Base cotización por meses'!N52,IF($U$33="media",'Base cotización por meses'!H7)))))))))))))*$U$56</f>
        <v>65.234794871794875</v>
      </c>
      <c r="O7" s="74">
        <f ca="1">IF($U$33="enero",'Base cotización por meses'!C52,IF($U$33="febrero",'Base cotización por meses'!D52,IF($U$33="marzo",'Base cotización por meses'!E52,IF($U$33="abril",'Base cotización por meses'!F52,IF($U$33="mayo",'Base cotización por meses'!G52,IF($U$33="junio",'Base cotización por meses'!H52,IF($U$33="julio",'Base cotización por meses'!I52,IF($U$33="agosto",'Base cotización por meses'!J52,IF($U$33="septiembre",'Base cotización por meses'!K52,IF($U$33="octubre",'Base cotización por meses'!L52,IF($U$33="noviembre",'Base cotización por meses'!M52,IF($U$33="diciembre",'Base cotización por meses'!N52,IF($U$33="media",'Base cotización por meses'!H7)))))))))))))*$U$65</f>
        <v>2.0819615384615386</v>
      </c>
      <c r="P7" s="74">
        <f ca="1">IF($U$33="enero",'Base cotización por meses'!C52,IF($U$33="febrero",'Base cotización por meses'!D52,IF($U$33="marzo",'Base cotización por meses'!E52,IF($U$33="abril",'Base cotización por meses'!F52,IF($U$33="mayo",'Base cotización por meses'!G52,IF($U$33="junio",'Base cotización por meses'!H52,IF($U$33="julio",'Base cotización por meses'!I52,IF($U$33="agosto",'Base cotización por meses'!J52,IF($U$33="septiembre",'Base cotización por meses'!K52,IF($U$33="octubre",'Base cotización por meses'!L52,IF($U$33="noviembre",'Base cotización por meses'!M52,IF($U$33="diciembre",'Base cotización por meses'!N52,IF($U$33="media",'Base cotización por meses'!H7)))))))))))))*$U$59</f>
        <v>1.3879743589743592</v>
      </c>
      <c r="Q7" s="74">
        <f ca="1">IF($U$33="enero",'Base cotización por meses'!C52,IF($U$33="febrero",'Base cotización por meses'!D52,IF($U$33="marzo",'Base cotización por meses'!E52,IF($U$33="abril",'Base cotización por meses'!F52,IF($U$33="mayo",'Base cotización por meses'!G52,IF($U$33="junio",'Base cotización por meses'!H52,IF($U$33="julio",'Base cotización por meses'!I52,IF($U$33="agosto",'Base cotización por meses'!J52,IF($U$33="septiembre",'Base cotización por meses'!K52,IF($U$33="octubre",'Base cotización por meses'!L52,IF($U$33="noviembre",'Base cotización por meses'!M52,IF($U$33="diciembre",'Base cotización por meses'!N52,IF($U$33="media",'Base cotización por meses'!H7)))))))))))))*$U$62</f>
        <v>21.513602564102566</v>
      </c>
      <c r="R7" s="82">
        <f t="shared" ca="1" si="2"/>
        <v>1863.355576923077</v>
      </c>
      <c r="S7" s="86">
        <f t="shared" ca="1" si="3"/>
        <v>1297.7560256410259</v>
      </c>
      <c r="T7" s="2"/>
      <c r="U7" s="63" t="s">
        <v>27</v>
      </c>
      <c r="V7" s="64" t="s">
        <v>21</v>
      </c>
      <c r="W7" s="2"/>
    </row>
    <row r="8" spans="2:25">
      <c r="B8" s="3">
        <v>37</v>
      </c>
      <c r="C8" s="9">
        <f t="shared" si="4"/>
        <v>841.87333333333333</v>
      </c>
      <c r="D8" s="9">
        <f t="shared" si="5"/>
        <v>80.33743589743591</v>
      </c>
      <c r="E8" s="9">
        <f t="shared" ca="1" si="6"/>
        <v>123.56102564102565</v>
      </c>
      <c r="F8" s="9">
        <f t="shared" ca="1" si="0"/>
        <v>64.318333333333385</v>
      </c>
      <c r="G8" s="9">
        <f t="shared" ca="1" si="1"/>
        <v>241.35858974358973</v>
      </c>
      <c r="H8" s="62">
        <f ca="1">IF($U$33="enero",'Base cotización por meses'!C53,IF($U$33="febrero",'Base cotización por meses'!D53,IF($U$33="marzo",'Base cotización por meses'!E53,IF($U$33="abril",'Base cotización por meses'!F53,IF($U$33="mayo",'Base cotización por meses'!G53,IF($U$33="junio",'Base cotización por meses'!H53,IF($U$33="julio",'Base cotización por meses'!I53,IF($U$33="agosto",'Base cotización por meses'!J53,IF($U$33="septiembre",'Base cotización por meses'!K53,IF($U$33="octubre",'Base cotización por meses'!L53,IF($U$33="noviembre",'Base cotización por meses'!M53,IF($U$33="diciembre",'Base cotización por meses'!N53,IF($U$33="media",'Base cotización por meses'!H8)))))))))))))*$U$36</f>
        <v>318.94189743589749</v>
      </c>
      <c r="I8" s="62">
        <f ca="1">IF($U$33="enero",'Base cotización por meses'!C53,IF($U$33="febrero",'Base cotización por meses'!D53,IF($U$33="marzo",'Base cotización por meses'!E53,IF($U$33="abril",'Base cotización por meses'!F53,IF($U$33="mayo",'Base cotización por meses'!G53,IF($U$33="junio",'Base cotización por meses'!H53,IF($U$33="julio",'Base cotización por meses'!I53,IF($U$33="agosto",'Base cotización por meses'!J53,IF($U$33="septiembre",'Base cotización por meses'!K53,IF($U$33="octubre",'Base cotización por meses'!L53,IF($U$33="noviembre",'Base cotización por meses'!M53,IF($U$33="diciembre",'Base cotización por meses'!N53,IF($U$33="media",'Base cotización por meses'!H8)))))))))))))*$U$51</f>
        <v>10.135865384615386</v>
      </c>
      <c r="J8" s="62">
        <f ca="1">IF($U$33="enero",'Base cotización por meses'!C53,IF($U$33="febrero",'Base cotización por meses'!D53,IF($U$33="marzo",'Base cotización por meses'!E53,IF($U$33="abril",'Base cotización por meses'!F53,IF($U$33="mayo",'Base cotización por meses'!G53,IF($U$33="junio",'Base cotización por meses'!H53,IF($U$33="julio",'Base cotización por meses'!I53,IF($U$33="agosto",'Base cotización por meses'!J53,IF($U$33="septiembre",'Base cotización por meses'!K53,IF($U$33="octubre",'Base cotización por meses'!L53,IF($U$33="noviembre",'Base cotización por meses'!M53,IF($U$33="diciembre",'Base cotización por meses'!N53,IF($U$33="media",'Base cotización por meses'!H8)))))))))))))*$U$39</f>
        <v>48.652153846153851</v>
      </c>
      <c r="K8" s="62">
        <f ca="1">IF($U$33="enero",'Base cotización por meses'!C53,IF($U$33="febrero",'Base cotización por meses'!D53,IF($U$33="marzo",'Base cotización por meses'!E53,IF($U$33="abril",'Base cotización por meses'!F53,IF($U$33="mayo",'Base cotización por meses'!G53,IF($U$33="junio",'Base cotización por meses'!H53,IF($U$33="julio",'Base cotización por meses'!I53,IF($U$33="agosto",'Base cotización por meses'!J53,IF($U$33="septiembre",'Base cotización por meses'!K53,IF($U$33="octubre",'Base cotización por meses'!L53,IF($U$33="noviembre",'Base cotización por meses'!M53,IF($U$33="diciembre",'Base cotización por meses'!N53,IF($U$33="media",'Base cotización por meses'!H8)))))))))))))*$U$42</f>
        <v>74.329679487179504</v>
      </c>
      <c r="L8" s="62">
        <f ca="1">IF($U$33="enero",'Base cotización por meses'!C53,IF($U$33="febrero",'Base cotización por meses'!D53,IF($U$33="marzo",'Base cotización por meses'!E53,IF($U$33="abril",'Base cotización por meses'!F53,IF($U$33="mayo",'Base cotización por meses'!G53,IF($U$33="junio",'Base cotización por meses'!H53,IF($U$33="julio",'Base cotización por meses'!I53,IF($U$33="agosto",'Base cotización por meses'!J53,IF($U$33="septiembre",'Base cotización por meses'!K53,IF($U$33="octubre",'Base cotización por meses'!L53,IF($U$33="noviembre",'Base cotización por meses'!M53,IF($U$33="diciembre",'Base cotización por meses'!N53,IF($U$33="media",'Base cotización por meses'!H8)))))))))))))*$U$45</f>
        <v>8.1086923076923103</v>
      </c>
      <c r="M8" s="62">
        <f ca="1">IF($U$33="enero",'Base cotización por meses'!C53,IF($U$33="febrero",'Base cotización por meses'!D53,IF($U$33="marzo",'Base cotización por meses'!E53,IF($U$33="abril",'Base cotización por meses'!F53,IF($U$33="mayo",'Base cotización por meses'!G53,IF($U$33="junio",'Base cotización por meses'!H53,IF($U$33="julio",'Base cotización por meses'!I53,IF($U$33="agosto",'Base cotización por meses'!J53,IF($U$33="septiembre",'Base cotización por meses'!K53,IF($U$33="octubre",'Base cotización por meses'!L53,IF($U$33="noviembre",'Base cotización por meses'!M53,IF($U$33="diciembre",'Base cotización por meses'!N53,IF($U$33="media",'Base cotización por meses'!H8)))))))))))))*$U$48</f>
        <v>2.7028974358974365</v>
      </c>
      <c r="N8" s="79">
        <f ca="1">IF($U$33="enero",'Base cotización por meses'!C53,IF($U$33="febrero",'Base cotización por meses'!D53,IF($U$33="marzo",'Base cotización por meses'!E53,IF($U$33="abril",'Base cotización por meses'!F53,IF($U$33="mayo",'Base cotización por meses'!G53,IF($U$33="junio",'Base cotización por meses'!H53,IF($U$33="julio",'Base cotización por meses'!I53,IF($U$33="agosto",'Base cotización por meses'!J53,IF($U$33="septiembre",'Base cotización por meses'!K53,IF($U$33="octubre",'Base cotización por meses'!L53,IF($U$33="noviembre",'Base cotización por meses'!M53,IF($U$33="diciembre",'Base cotización por meses'!N53,IF($U$33="media",'Base cotización por meses'!H8)))))))))))))*$U$56</f>
        <v>63.518089743589755</v>
      </c>
      <c r="O8" s="74">
        <f ca="1">IF($U$33="enero",'Base cotización por meses'!C53,IF($U$33="febrero",'Base cotización por meses'!D53,IF($U$33="marzo",'Base cotización por meses'!E53,IF($U$33="abril",'Base cotización por meses'!F53,IF($U$33="mayo",'Base cotización por meses'!G53,IF($U$33="junio",'Base cotización por meses'!H53,IF($U$33="julio",'Base cotización por meses'!I53,IF($U$33="agosto",'Base cotización por meses'!J53,IF($U$33="septiembre",'Base cotización por meses'!K53,IF($U$33="octubre",'Base cotización por meses'!L53,IF($U$33="noviembre",'Base cotización por meses'!M53,IF($U$33="diciembre",'Base cotización por meses'!N53,IF($U$33="media",'Base cotización por meses'!H8)))))))))))))*$U$65</f>
        <v>2.0271730769230776</v>
      </c>
      <c r="P8" s="74">
        <f ca="1">IF($U$33="enero",'Base cotización por meses'!C53,IF($U$33="febrero",'Base cotización por meses'!D53,IF($U$33="marzo",'Base cotización por meses'!E53,IF($U$33="abril",'Base cotización por meses'!F53,IF($U$33="mayo",'Base cotización por meses'!G53,IF($U$33="junio",'Base cotización por meses'!H53,IF($U$33="julio",'Base cotización por meses'!I53,IF($U$33="agosto",'Base cotización por meses'!J53,IF($U$33="septiembre",'Base cotización por meses'!K53,IF($U$33="octubre",'Base cotización por meses'!L53,IF($U$33="noviembre",'Base cotización por meses'!M53,IF($U$33="diciembre",'Base cotización por meses'!N53,IF($U$33="media",'Base cotización por meses'!H8)))))))))))))*$U$59</f>
        <v>1.3514487179487182</v>
      </c>
      <c r="Q8" s="74">
        <f ca="1">IF($U$33="enero",'Base cotización por meses'!C53,IF($U$33="febrero",'Base cotización por meses'!D53,IF($U$33="marzo",'Base cotización por meses'!E53,IF($U$33="abril",'Base cotización por meses'!F53,IF($U$33="mayo",'Base cotización por meses'!G53,IF($U$33="junio",'Base cotización por meses'!H53,IF($U$33="julio",'Base cotización por meses'!I53,IF($U$33="agosto",'Base cotización por meses'!J53,IF($U$33="septiembre",'Base cotización por meses'!K53,IF($U$33="octubre",'Base cotización por meses'!L53,IF($U$33="noviembre",'Base cotización por meses'!M53,IF($U$33="diciembre",'Base cotización por meses'!N53,IF($U$33="media",'Base cotización por meses'!H8)))))))))))))*$U$62</f>
        <v>20.947455128205132</v>
      </c>
      <c r="R8" s="82">
        <f t="shared" ca="1" si="2"/>
        <v>1814.3199038461541</v>
      </c>
      <c r="S8" s="86">
        <f t="shared" ca="1" si="3"/>
        <v>1263.6045512820515</v>
      </c>
      <c r="T8" s="2"/>
      <c r="U8" s="47">
        <f>Costes_26!P8</f>
        <v>37040</v>
      </c>
      <c r="V8" s="65">
        <f ca="1">INT(YEARFRAC(U8,TODAY())/3)</f>
        <v>8</v>
      </c>
      <c r="W8" s="2"/>
    </row>
    <row r="9" spans="2:25">
      <c r="B9" s="3">
        <v>36</v>
      </c>
      <c r="C9" s="9">
        <f t="shared" si="4"/>
        <v>819.12</v>
      </c>
      <c r="D9" s="9">
        <f t="shared" si="5"/>
        <v>78.166153846153861</v>
      </c>
      <c r="E9" s="9">
        <f t="shared" ca="1" si="6"/>
        <v>120.22153846153847</v>
      </c>
      <c r="F9" s="9">
        <f t="shared" ca="1" si="0"/>
        <v>62.580000000000155</v>
      </c>
      <c r="G9" s="9">
        <f t="shared" ca="1" si="1"/>
        <v>234.83538461538461</v>
      </c>
      <c r="H9" s="62">
        <f ca="1">IF($U$33="enero",'Base cotización por meses'!C54,IF($U$33="febrero",'Base cotización por meses'!D54,IF($U$33="marzo",'Base cotización por meses'!E54,IF($U$33="abril",'Base cotización por meses'!F54,IF($U$33="mayo",'Base cotización por meses'!G54,IF($U$33="junio",'Base cotización por meses'!H54,IF($U$33="julio",'Base cotización por meses'!I54,IF($U$33="agosto",'Base cotización por meses'!J54,IF($U$33="septiembre",'Base cotización por meses'!K54,IF($U$33="octubre",'Base cotización por meses'!L54,IF($U$33="noviembre",'Base cotización por meses'!M54,IF($U$33="diciembre",'Base cotización por meses'!N54,IF($U$33="media",'Base cotización por meses'!H9)))))))))))))*$U$36</f>
        <v>310.3218461538462</v>
      </c>
      <c r="I9" s="62">
        <f ca="1">IF($U$33="enero",'Base cotización por meses'!C54,IF($U$33="febrero",'Base cotización por meses'!D54,IF($U$33="marzo",'Base cotización por meses'!E54,IF($U$33="abril",'Base cotización por meses'!F54,IF($U$33="mayo",'Base cotización por meses'!G54,IF($U$33="junio",'Base cotización por meses'!H54,IF($U$33="julio",'Base cotización por meses'!I54,IF($U$33="agosto",'Base cotización por meses'!J54,IF($U$33="septiembre",'Base cotización por meses'!K54,IF($U$33="octubre",'Base cotización por meses'!L54,IF($U$33="noviembre",'Base cotización por meses'!M54,IF($U$33="diciembre",'Base cotización por meses'!N54,IF($U$33="media",'Base cotización por meses'!H9)))))))))))))*$U$51</f>
        <v>9.8619230769230786</v>
      </c>
      <c r="J9" s="62">
        <f ca="1">IF($U$33="enero",'Base cotización por meses'!C54,IF($U$33="febrero",'Base cotización por meses'!D54,IF($U$33="marzo",'Base cotización por meses'!E54,IF($U$33="abril",'Base cotización por meses'!F54,IF($U$33="mayo",'Base cotización por meses'!G54,IF($U$33="junio",'Base cotización por meses'!H54,IF($U$33="julio",'Base cotización por meses'!I54,IF($U$33="agosto",'Base cotización por meses'!J54,IF($U$33="septiembre",'Base cotización por meses'!K54,IF($U$33="octubre",'Base cotización por meses'!L54,IF($U$33="noviembre",'Base cotización por meses'!M54,IF($U$33="diciembre",'Base cotización por meses'!N54,IF($U$33="media",'Base cotización por meses'!H9)))))))))))))*$U$39</f>
        <v>47.337230769230771</v>
      </c>
      <c r="K9" s="62">
        <f ca="1">IF($U$33="enero",'Base cotización por meses'!C54,IF($U$33="febrero",'Base cotización por meses'!D54,IF($U$33="marzo",'Base cotización por meses'!E54,IF($U$33="abril",'Base cotización por meses'!F54,IF($U$33="mayo",'Base cotización por meses'!G54,IF($U$33="junio",'Base cotización por meses'!H54,IF($U$33="julio",'Base cotización por meses'!I54,IF($U$33="agosto",'Base cotización por meses'!J54,IF($U$33="septiembre",'Base cotización por meses'!K54,IF($U$33="octubre",'Base cotización por meses'!L54,IF($U$33="noviembre",'Base cotización por meses'!M54,IF($U$33="diciembre",'Base cotización por meses'!N54,IF($U$33="media",'Base cotización por meses'!H9)))))))))))))*$U$42</f>
        <v>72.320769230769244</v>
      </c>
      <c r="L9" s="62">
        <f ca="1">IF($U$33="enero",'Base cotización por meses'!C54,IF($U$33="febrero",'Base cotización por meses'!D54,IF($U$33="marzo",'Base cotización por meses'!E54,IF($U$33="abril",'Base cotización por meses'!F54,IF($U$33="mayo",'Base cotización por meses'!G54,IF($U$33="junio",'Base cotización por meses'!H54,IF($U$33="julio",'Base cotización por meses'!I54,IF($U$33="agosto",'Base cotización por meses'!J54,IF($U$33="septiembre",'Base cotización por meses'!K54,IF($U$33="octubre",'Base cotización por meses'!L54,IF($U$33="noviembre",'Base cotización por meses'!M54,IF($U$33="diciembre",'Base cotización por meses'!N54,IF($U$33="media",'Base cotización por meses'!H9)))))))))))))*$U$45</f>
        <v>7.8895384615384634</v>
      </c>
      <c r="M9" s="62">
        <f ca="1">IF($U$33="enero",'Base cotización por meses'!C54,IF($U$33="febrero",'Base cotización por meses'!D54,IF($U$33="marzo",'Base cotización por meses'!E54,IF($U$33="abril",'Base cotización por meses'!F54,IF($U$33="mayo",'Base cotización por meses'!G54,IF($U$33="junio",'Base cotización por meses'!H54,IF($U$33="julio",'Base cotización por meses'!I54,IF($U$33="agosto",'Base cotización por meses'!J54,IF($U$33="septiembre",'Base cotización por meses'!K54,IF($U$33="octubre",'Base cotización por meses'!L54,IF($U$33="noviembre",'Base cotización por meses'!M54,IF($U$33="diciembre",'Base cotización por meses'!N54,IF($U$33="media",'Base cotización por meses'!H9)))))))))))))*$U$48</f>
        <v>2.6298461538461542</v>
      </c>
      <c r="N9" s="79">
        <f ca="1">IF($U$33="enero",'Base cotización por meses'!C54,IF($U$33="febrero",'Base cotización por meses'!D54,IF($U$33="marzo",'Base cotización por meses'!E54,IF($U$33="abril",'Base cotización por meses'!F54,IF($U$33="mayo",'Base cotización por meses'!G54,IF($U$33="junio",'Base cotización por meses'!H54,IF($U$33="julio",'Base cotización por meses'!I54,IF($U$33="agosto",'Base cotización por meses'!J54,IF($U$33="septiembre",'Base cotización por meses'!K54,IF($U$33="octubre",'Base cotización por meses'!L54,IF($U$33="noviembre",'Base cotización por meses'!M54,IF($U$33="diciembre",'Base cotización por meses'!N54,IF($U$33="media",'Base cotización por meses'!H9)))))))))))))*$U$56</f>
        <v>61.801384615384627</v>
      </c>
      <c r="O9" s="74">
        <f ca="1">IF($U$33="enero",'Base cotización por meses'!C54,IF($U$33="febrero",'Base cotización por meses'!D54,IF($U$33="marzo",'Base cotización por meses'!E54,IF($U$33="abril",'Base cotización por meses'!F54,IF($U$33="mayo",'Base cotización por meses'!G54,IF($U$33="junio",'Base cotización por meses'!H54,IF($U$33="julio",'Base cotización por meses'!I54,IF($U$33="agosto",'Base cotización por meses'!J54,IF($U$33="septiembre",'Base cotización por meses'!K54,IF($U$33="octubre",'Base cotización por meses'!L54,IF($U$33="noviembre",'Base cotización por meses'!M54,IF($U$33="diciembre",'Base cotización por meses'!N54,IF($U$33="media",'Base cotización por meses'!H9)))))))))))))*$U$65</f>
        <v>1.9723846153846158</v>
      </c>
      <c r="P9" s="74">
        <f ca="1">IF($U$33="enero",'Base cotización por meses'!C54,IF($U$33="febrero",'Base cotización por meses'!D54,IF($U$33="marzo",'Base cotización por meses'!E54,IF($U$33="abril",'Base cotización por meses'!F54,IF($U$33="mayo",'Base cotización por meses'!G54,IF($U$33="junio",'Base cotización por meses'!H54,IF($U$33="julio",'Base cotización por meses'!I54,IF($U$33="agosto",'Base cotización por meses'!J54,IF($U$33="septiembre",'Base cotización por meses'!K54,IF($U$33="octubre",'Base cotización por meses'!L54,IF($U$33="noviembre",'Base cotización por meses'!M54,IF($U$33="diciembre",'Base cotización por meses'!N54,IF($U$33="media",'Base cotización por meses'!H9)))))))))))))*$U$59</f>
        <v>1.3149230769230771</v>
      </c>
      <c r="Q9" s="74">
        <f ca="1">IF($U$33="enero",'Base cotización por meses'!C54,IF($U$33="febrero",'Base cotización por meses'!D54,IF($U$33="marzo",'Base cotización por meses'!E54,IF($U$33="abril",'Base cotización por meses'!F54,IF($U$33="mayo",'Base cotización por meses'!G54,IF($U$33="junio",'Base cotización por meses'!H54,IF($U$33="julio",'Base cotización por meses'!I54,IF($U$33="agosto",'Base cotización por meses'!J54,IF($U$33="septiembre",'Base cotización por meses'!K54,IF($U$33="octubre",'Base cotización por meses'!L54,IF($U$33="noviembre",'Base cotización por meses'!M54,IF($U$33="diciembre",'Base cotización por meses'!N54,IF($U$33="media",'Base cotización por meses'!H9)))))))))))))*$U$62</f>
        <v>20.381307692307697</v>
      </c>
      <c r="R9" s="82">
        <f t="shared" ca="1" si="2"/>
        <v>1765.284230769231</v>
      </c>
      <c r="S9" s="86">
        <f t="shared" ca="1" si="3"/>
        <v>1229.4530769230771</v>
      </c>
      <c r="T9" s="2"/>
      <c r="U9" s="2"/>
      <c r="V9" s="2"/>
      <c r="W9" s="2"/>
    </row>
    <row r="10" spans="2:25" ht="16" customHeight="1" thickBot="1">
      <c r="B10" s="3">
        <v>35</v>
      </c>
      <c r="C10" s="9">
        <f t="shared" si="4"/>
        <v>796.36666666666667</v>
      </c>
      <c r="D10" s="9">
        <f t="shared" si="5"/>
        <v>75.994871794871813</v>
      </c>
      <c r="E10" s="9">
        <f t="shared" ca="1" si="6"/>
        <v>116.88205128205129</v>
      </c>
      <c r="F10" s="9">
        <f t="shared" ca="1" si="0"/>
        <v>60.841666666666924</v>
      </c>
      <c r="G10" s="9">
        <f t="shared" ca="1" si="1"/>
        <v>228.31217948717946</v>
      </c>
      <c r="H10" s="62">
        <f ca="1">IF($U$33="enero",'Base cotización por meses'!C55,IF($U$33="febrero",'Base cotización por meses'!D55,IF($U$33="marzo",'Base cotización por meses'!E55,IF($U$33="abril",'Base cotización por meses'!F55,IF($U$33="mayo",'Base cotización por meses'!G55,IF($U$33="junio",'Base cotización por meses'!H55,IF($U$33="julio",'Base cotización por meses'!I55,IF($U$33="agosto",'Base cotización por meses'!J55,IF($U$33="septiembre",'Base cotización por meses'!K55,IF($U$33="octubre",'Base cotización por meses'!L55,IF($U$33="noviembre",'Base cotización por meses'!M55,IF($U$33="diciembre",'Base cotización por meses'!N55,IF($U$33="media",'Base cotización por meses'!H10)))))))))))))*$U$36</f>
        <v>301.7017948717949</v>
      </c>
      <c r="I10" s="62">
        <f ca="1">IF($U$33="enero",'Base cotización por meses'!C55,IF($U$33="febrero",'Base cotización por meses'!D55,IF($U$33="marzo",'Base cotización por meses'!E55,IF($U$33="abril",'Base cotización por meses'!F55,IF($U$33="mayo",'Base cotización por meses'!G55,IF($U$33="junio",'Base cotización por meses'!H55,IF($U$33="julio",'Base cotización por meses'!I55,IF($U$33="agosto",'Base cotización por meses'!J55,IF($U$33="septiembre",'Base cotización por meses'!K55,IF($U$33="octubre",'Base cotización por meses'!L55,IF($U$33="noviembre",'Base cotización por meses'!M55,IF($U$33="diciembre",'Base cotización por meses'!N55,IF($U$33="media",'Base cotización por meses'!H10)))))))))))))*$U$51</f>
        <v>9.5879807692307697</v>
      </c>
      <c r="J10" s="62">
        <f ca="1">IF($U$33="enero",'Base cotización por meses'!C55,IF($U$33="febrero",'Base cotización por meses'!D55,IF($U$33="marzo",'Base cotización por meses'!E55,IF($U$33="abril",'Base cotización por meses'!F55,IF($U$33="mayo",'Base cotización por meses'!G55,IF($U$33="junio",'Base cotización por meses'!H55,IF($U$33="julio",'Base cotización por meses'!I55,IF($U$33="agosto",'Base cotización por meses'!J55,IF($U$33="septiembre",'Base cotización por meses'!K55,IF($U$33="octubre",'Base cotización por meses'!L55,IF($U$33="noviembre",'Base cotización por meses'!M55,IF($U$33="diciembre",'Base cotización por meses'!N55,IF($U$33="media",'Base cotización por meses'!H10)))))))))))))*$U$39</f>
        <v>46.022307692307692</v>
      </c>
      <c r="K10" s="62">
        <f ca="1">IF($U$33="enero",'Base cotización por meses'!C55,IF($U$33="febrero",'Base cotización por meses'!D55,IF($U$33="marzo",'Base cotización por meses'!E55,IF($U$33="abril",'Base cotización por meses'!F55,IF($U$33="mayo",'Base cotización por meses'!G55,IF($U$33="junio",'Base cotización por meses'!H55,IF($U$33="julio",'Base cotización por meses'!I55,IF($U$33="agosto",'Base cotización por meses'!J55,IF($U$33="septiembre",'Base cotización por meses'!K55,IF($U$33="octubre",'Base cotización por meses'!L55,IF($U$33="noviembre",'Base cotización por meses'!M55,IF($U$33="diciembre",'Base cotización por meses'!N55,IF($U$33="media",'Base cotización por meses'!H10)))))))))))))*$U$42</f>
        <v>70.311858974358984</v>
      </c>
      <c r="L10" s="62">
        <f ca="1">IF($U$33="enero",'Base cotización por meses'!C55,IF($U$33="febrero",'Base cotización por meses'!D55,IF($U$33="marzo",'Base cotización por meses'!E55,IF($U$33="abril",'Base cotización por meses'!F55,IF($U$33="mayo",'Base cotización por meses'!G55,IF($U$33="junio",'Base cotización por meses'!H55,IF($U$33="julio",'Base cotización por meses'!I55,IF($U$33="agosto",'Base cotización por meses'!J55,IF($U$33="septiembre",'Base cotización por meses'!K55,IF($U$33="octubre",'Base cotización por meses'!L55,IF($U$33="noviembre",'Base cotización por meses'!M55,IF($U$33="diciembre",'Base cotización por meses'!N55,IF($U$33="media",'Base cotización por meses'!H10)))))))))))))*$U$45</f>
        <v>7.6703846153846165</v>
      </c>
      <c r="M10" s="62">
        <f ca="1">IF($U$33="enero",'Base cotización por meses'!C55,IF($U$33="febrero",'Base cotización por meses'!D55,IF($U$33="marzo",'Base cotización por meses'!E55,IF($U$33="abril",'Base cotización por meses'!F55,IF($U$33="mayo",'Base cotización por meses'!G55,IF($U$33="junio",'Base cotización por meses'!H55,IF($U$33="julio",'Base cotización por meses'!I55,IF($U$33="agosto",'Base cotización por meses'!J55,IF($U$33="septiembre",'Base cotización por meses'!K55,IF($U$33="octubre",'Base cotización por meses'!L55,IF($U$33="noviembre",'Base cotización por meses'!M55,IF($U$33="diciembre",'Base cotización por meses'!N55,IF($U$33="media",'Base cotización por meses'!H10)))))))))))))*$U$48</f>
        <v>2.5567948717948723</v>
      </c>
      <c r="N10" s="79">
        <f ca="1">IF($U$33="enero",'Base cotización por meses'!C55,IF($U$33="febrero",'Base cotización por meses'!D55,IF($U$33="marzo",'Base cotización por meses'!E55,IF($U$33="abril",'Base cotización por meses'!F55,IF($U$33="mayo",'Base cotización por meses'!G55,IF($U$33="junio",'Base cotización por meses'!H55,IF($U$33="julio",'Base cotización por meses'!I55,IF($U$33="agosto",'Base cotización por meses'!J55,IF($U$33="septiembre",'Base cotización por meses'!K55,IF($U$33="octubre",'Base cotización por meses'!L55,IF($U$33="noviembre",'Base cotización por meses'!M55,IF($U$33="diciembre",'Base cotización por meses'!N55,IF($U$33="media",'Base cotización por meses'!H10)))))))))))))*$U$56</f>
        <v>60.084679487179493</v>
      </c>
      <c r="O10" s="74">
        <f ca="1">IF($U$33="enero",'Base cotización por meses'!C55,IF($U$33="febrero",'Base cotización por meses'!D55,IF($U$33="marzo",'Base cotización por meses'!E55,IF($U$33="abril",'Base cotización por meses'!F55,IF($U$33="mayo",'Base cotización por meses'!G55,IF($U$33="junio",'Base cotización por meses'!H55,IF($U$33="julio",'Base cotización por meses'!I55,IF($U$33="agosto",'Base cotización por meses'!J55,IF($U$33="septiembre",'Base cotización por meses'!K55,IF($U$33="octubre",'Base cotización por meses'!L55,IF($U$33="noviembre",'Base cotización por meses'!M55,IF($U$33="diciembre",'Base cotización por meses'!N55,IF($U$33="media",'Base cotización por meses'!H10)))))))))))))*$U$65</f>
        <v>1.9175961538461541</v>
      </c>
      <c r="P10" s="74">
        <f ca="1">IF($U$33="enero",'Base cotización por meses'!C55,IF($U$33="febrero",'Base cotización por meses'!D55,IF($U$33="marzo",'Base cotización por meses'!E55,IF($U$33="abril",'Base cotización por meses'!F55,IF($U$33="mayo",'Base cotización por meses'!G55,IF($U$33="junio",'Base cotización por meses'!H55,IF($U$33="julio",'Base cotización por meses'!I55,IF($U$33="agosto",'Base cotización por meses'!J55,IF($U$33="septiembre",'Base cotización por meses'!K55,IF($U$33="octubre",'Base cotización por meses'!L55,IF($U$33="noviembre",'Base cotización por meses'!M55,IF($U$33="diciembre",'Base cotización por meses'!N55,IF($U$33="media",'Base cotización por meses'!H10)))))))))))))*$U$59</f>
        <v>1.2783974358974362</v>
      </c>
      <c r="Q10" s="74">
        <f ca="1">IF($U$33="enero",'Base cotización por meses'!C55,IF($U$33="febrero",'Base cotización por meses'!D55,IF($U$33="marzo",'Base cotización por meses'!E55,IF($U$33="abril",'Base cotización por meses'!F55,IF($U$33="mayo",'Base cotización por meses'!G55,IF($U$33="junio",'Base cotización por meses'!H55,IF($U$33="julio",'Base cotización por meses'!I55,IF($U$33="agosto",'Base cotización por meses'!J55,IF($U$33="septiembre",'Base cotización por meses'!K55,IF($U$33="octubre",'Base cotización por meses'!L55,IF($U$33="noviembre",'Base cotización por meses'!M55,IF($U$33="diciembre",'Base cotización por meses'!N55,IF($U$33="media",'Base cotización por meses'!H10)))))))))))))*$U$62</f>
        <v>19.815160256410259</v>
      </c>
      <c r="R10" s="82">
        <f t="shared" ca="1" si="2"/>
        <v>1716.2485576923079</v>
      </c>
      <c r="S10" s="86">
        <f t="shared" ca="1" si="3"/>
        <v>1195.3016025641027</v>
      </c>
      <c r="T10" s="2"/>
      <c r="U10" s="2"/>
      <c r="V10" s="2"/>
      <c r="W10" s="2"/>
    </row>
    <row r="11" spans="2:25" ht="16" customHeight="1" thickBot="1">
      <c r="B11" s="3">
        <v>34</v>
      </c>
      <c r="C11" s="9">
        <f t="shared" si="4"/>
        <v>773.61333333333334</v>
      </c>
      <c r="D11" s="9">
        <f t="shared" si="5"/>
        <v>73.823589743589764</v>
      </c>
      <c r="E11" s="9">
        <f t="shared" ca="1" si="6"/>
        <v>113.54256410256411</v>
      </c>
      <c r="F11" s="9">
        <f t="shared" ca="1" si="0"/>
        <v>59.103333333333239</v>
      </c>
      <c r="G11" s="9">
        <f t="shared" ca="1" si="1"/>
        <v>221.78897435897434</v>
      </c>
      <c r="H11" s="62">
        <f ca="1">IF($U$33="enero",'Base cotización por meses'!C56,IF($U$33="febrero",'Base cotización por meses'!D56,IF($U$33="marzo",'Base cotización por meses'!E56,IF($U$33="abril",'Base cotización por meses'!F56,IF($U$33="mayo",'Base cotización por meses'!G56,IF($U$33="junio",'Base cotización por meses'!H56,IF($U$33="julio",'Base cotización por meses'!I56,IF($U$33="agosto",'Base cotización por meses'!J56,IF($U$33="septiembre",'Base cotización por meses'!K56,IF($U$33="octubre",'Base cotización por meses'!L56,IF($U$33="noviembre",'Base cotización por meses'!M56,IF($U$33="diciembre",'Base cotización por meses'!N56,IF($U$33="media",'Base cotización por meses'!H11)))))))))))))*$U$36</f>
        <v>293.08174358974361</v>
      </c>
      <c r="I11" s="62">
        <f ca="1">IF($U$33="enero",'Base cotización por meses'!C56,IF($U$33="febrero",'Base cotización por meses'!D56,IF($U$33="marzo",'Base cotización por meses'!E56,IF($U$33="abril",'Base cotización por meses'!F56,IF($U$33="mayo",'Base cotización por meses'!G56,IF($U$33="junio",'Base cotización por meses'!H56,IF($U$33="julio",'Base cotización por meses'!I56,IF($U$33="agosto",'Base cotización por meses'!J56,IF($U$33="septiembre",'Base cotización por meses'!K56,IF($U$33="octubre",'Base cotización por meses'!L56,IF($U$33="noviembre",'Base cotización por meses'!M56,IF($U$33="diciembre",'Base cotización por meses'!N56,IF($U$33="media",'Base cotización por meses'!H11)))))))))))))*$U$51</f>
        <v>9.3140384615384608</v>
      </c>
      <c r="J11" s="62">
        <f ca="1">IF($U$33="enero",'Base cotización por meses'!C56,IF($U$33="febrero",'Base cotización por meses'!D56,IF($U$33="marzo",'Base cotización por meses'!E56,IF($U$33="abril",'Base cotización por meses'!F56,IF($U$33="mayo",'Base cotización por meses'!G56,IF($U$33="junio",'Base cotización por meses'!H56,IF($U$33="julio",'Base cotización por meses'!I56,IF($U$33="agosto",'Base cotización por meses'!J56,IF($U$33="septiembre",'Base cotización por meses'!K56,IF($U$33="octubre",'Base cotización por meses'!L56,IF($U$33="noviembre",'Base cotización por meses'!M56,IF($U$33="diciembre",'Base cotización por meses'!N56,IF($U$33="media",'Base cotización por meses'!H11)))))))))))))*$U$39</f>
        <v>44.707384615384612</v>
      </c>
      <c r="K11" s="62">
        <f ca="1">IF($U$33="enero",'Base cotización por meses'!C56,IF($U$33="febrero",'Base cotización por meses'!D56,IF($U$33="marzo",'Base cotización por meses'!E56,IF($U$33="abril",'Base cotización por meses'!F56,IF($U$33="mayo",'Base cotización por meses'!G56,IF($U$33="junio",'Base cotización por meses'!H56,IF($U$33="julio",'Base cotización por meses'!I56,IF($U$33="agosto",'Base cotización por meses'!J56,IF($U$33="septiembre",'Base cotización por meses'!K56,IF($U$33="octubre",'Base cotización por meses'!L56,IF($U$33="noviembre",'Base cotización por meses'!M56,IF($U$33="diciembre",'Base cotización por meses'!N56,IF($U$33="media",'Base cotización por meses'!H11)))))))))))))*$U$42</f>
        <v>68.302948717948723</v>
      </c>
      <c r="L11" s="62">
        <f ca="1">IF($U$33="enero",'Base cotización por meses'!C56,IF($U$33="febrero",'Base cotización por meses'!D56,IF($U$33="marzo",'Base cotización por meses'!E56,IF($U$33="abril",'Base cotización por meses'!F56,IF($U$33="mayo",'Base cotización por meses'!G56,IF($U$33="junio",'Base cotización por meses'!H56,IF($U$33="julio",'Base cotización por meses'!I56,IF($U$33="agosto",'Base cotización por meses'!J56,IF($U$33="septiembre",'Base cotización por meses'!K56,IF($U$33="octubre",'Base cotización por meses'!L56,IF($U$33="noviembre",'Base cotización por meses'!M56,IF($U$33="diciembre",'Base cotización por meses'!N56,IF($U$33="media",'Base cotización por meses'!H11)))))))))))))*$U$45</f>
        <v>7.4512307692307695</v>
      </c>
      <c r="M11" s="62">
        <f ca="1">IF($U$33="enero",'Base cotización por meses'!C56,IF($U$33="febrero",'Base cotización por meses'!D56,IF($U$33="marzo",'Base cotización por meses'!E56,IF($U$33="abril",'Base cotización por meses'!F56,IF($U$33="mayo",'Base cotización por meses'!G56,IF($U$33="junio",'Base cotización por meses'!H56,IF($U$33="julio",'Base cotización por meses'!I56,IF($U$33="agosto",'Base cotización por meses'!J56,IF($U$33="septiembre",'Base cotización por meses'!K56,IF($U$33="octubre",'Base cotización por meses'!L56,IF($U$33="noviembre",'Base cotización por meses'!M56,IF($U$33="diciembre",'Base cotización por meses'!N56,IF($U$33="media",'Base cotización por meses'!H11)))))))))))))*$U$48</f>
        <v>2.48374358974359</v>
      </c>
      <c r="N11" s="79">
        <f ca="1">IF($U$33="enero",'Base cotización por meses'!C56,IF($U$33="febrero",'Base cotización por meses'!D56,IF($U$33="marzo",'Base cotización por meses'!E56,IF($U$33="abril",'Base cotización por meses'!F56,IF($U$33="mayo",'Base cotización por meses'!G56,IF($U$33="junio",'Base cotización por meses'!H56,IF($U$33="julio",'Base cotización por meses'!I56,IF($U$33="agosto",'Base cotización por meses'!J56,IF($U$33="septiembre",'Base cotización por meses'!K56,IF($U$33="octubre",'Base cotización por meses'!L56,IF($U$33="noviembre",'Base cotización por meses'!M56,IF($U$33="diciembre",'Base cotización por meses'!N56,IF($U$33="media",'Base cotización por meses'!H11)))))))))))))*$U$56</f>
        <v>58.367974358974358</v>
      </c>
      <c r="O11" s="74">
        <f ca="1">IF($U$33="enero",'Base cotización por meses'!C56,IF($U$33="febrero",'Base cotización por meses'!D56,IF($U$33="marzo",'Base cotización por meses'!E56,IF($U$33="abril",'Base cotización por meses'!F56,IF($U$33="mayo",'Base cotización por meses'!G56,IF($U$33="junio",'Base cotización por meses'!H56,IF($U$33="julio",'Base cotización por meses'!I56,IF($U$33="agosto",'Base cotización por meses'!J56,IF($U$33="septiembre",'Base cotización por meses'!K56,IF($U$33="octubre",'Base cotización por meses'!L56,IF($U$33="noviembre",'Base cotización por meses'!M56,IF($U$33="diciembre",'Base cotización por meses'!N56,IF($U$33="media",'Base cotización por meses'!H11)))))))))))))*$U$65</f>
        <v>1.8628076923076924</v>
      </c>
      <c r="P11" s="74">
        <f ca="1">IF($U$33="enero",'Base cotización por meses'!C56,IF($U$33="febrero",'Base cotización por meses'!D56,IF($U$33="marzo",'Base cotización por meses'!E56,IF($U$33="abril",'Base cotización por meses'!F56,IF($U$33="mayo",'Base cotización por meses'!G56,IF($U$33="junio",'Base cotización por meses'!H56,IF($U$33="julio",'Base cotización por meses'!I56,IF($U$33="agosto",'Base cotización por meses'!J56,IF($U$33="septiembre",'Base cotización por meses'!K56,IF($U$33="octubre",'Base cotización por meses'!L56,IF($U$33="noviembre",'Base cotización por meses'!M56,IF($U$33="diciembre",'Base cotización por meses'!N56,IF($U$33="media",'Base cotización por meses'!H11)))))))))))))*$U$59</f>
        <v>1.241871794871795</v>
      </c>
      <c r="Q11" s="74">
        <f ca="1">IF($U$33="enero",'Base cotización por meses'!C56,IF($U$33="febrero",'Base cotización por meses'!D56,IF($U$33="marzo",'Base cotización por meses'!E56,IF($U$33="abril",'Base cotización por meses'!F56,IF($U$33="mayo",'Base cotización por meses'!G56,IF($U$33="junio",'Base cotización por meses'!H56,IF($U$33="julio",'Base cotización por meses'!I56,IF($U$33="agosto",'Base cotización por meses'!J56,IF($U$33="septiembre",'Base cotización por meses'!K56,IF($U$33="octubre",'Base cotización por meses'!L56,IF($U$33="noviembre",'Base cotización por meses'!M56,IF($U$33="diciembre",'Base cotización por meses'!N56,IF($U$33="media",'Base cotización por meses'!H11)))))))))))))*$U$62</f>
        <v>19.249012820512821</v>
      </c>
      <c r="R11" s="82">
        <f t="shared" ca="1" si="2"/>
        <v>1667.2128846153848</v>
      </c>
      <c r="S11" s="86">
        <f t="shared" ca="1" si="3"/>
        <v>1161.1501282051283</v>
      </c>
      <c r="T11" s="2"/>
      <c r="U11" s="190" t="s">
        <v>53</v>
      </c>
      <c r="V11" s="165"/>
      <c r="W11" s="165"/>
      <c r="X11" s="185"/>
    </row>
    <row r="12" spans="2:25">
      <c r="B12" s="3">
        <v>33</v>
      </c>
      <c r="C12" s="9">
        <f t="shared" si="4"/>
        <v>750.86</v>
      </c>
      <c r="D12" s="9">
        <f t="shared" si="5"/>
        <v>71.652307692307716</v>
      </c>
      <c r="E12" s="9">
        <f t="shared" ca="1" si="6"/>
        <v>110.20307692307694</v>
      </c>
      <c r="F12" s="9">
        <f t="shared" ca="1" si="0"/>
        <v>57.365000000000009</v>
      </c>
      <c r="G12" s="9">
        <f t="shared" ca="1" si="1"/>
        <v>215.26576923076925</v>
      </c>
      <c r="H12" s="62">
        <f ca="1">IF($U$33="enero",'Base cotización por meses'!C57,IF($U$33="febrero",'Base cotización por meses'!D57,IF($U$33="marzo",'Base cotización por meses'!E57,IF($U$33="abril",'Base cotización por meses'!F57,IF($U$33="mayo",'Base cotización por meses'!G57,IF($U$33="junio",'Base cotización por meses'!H57,IF($U$33="julio",'Base cotización por meses'!I57,IF($U$33="agosto",'Base cotización por meses'!J57,IF($U$33="septiembre",'Base cotización por meses'!K57,IF($U$33="octubre",'Base cotización por meses'!L57,IF($U$33="noviembre",'Base cotización por meses'!M57,IF($U$33="diciembre",'Base cotización por meses'!N57,IF($U$33="media",'Base cotización por meses'!H12)))))))))))))*$U$36</f>
        <v>284.46169230769226</v>
      </c>
      <c r="I12" s="62">
        <f ca="1">IF($U$33="enero",'Base cotización por meses'!C57,IF($U$33="febrero",'Base cotización por meses'!D57,IF($U$33="marzo",'Base cotización por meses'!E57,IF($U$33="abril",'Base cotización por meses'!F57,IF($U$33="mayo",'Base cotización por meses'!G57,IF($U$33="junio",'Base cotización por meses'!H57,IF($U$33="julio",'Base cotización por meses'!I57,IF($U$33="agosto",'Base cotización por meses'!J57,IF($U$33="septiembre",'Base cotización por meses'!K57,IF($U$33="octubre",'Base cotización por meses'!L57,IF($U$33="noviembre",'Base cotización por meses'!M57,IF($U$33="diciembre",'Base cotización por meses'!N57,IF($U$33="media",'Base cotización por meses'!H12)))))))))))))*$U$51</f>
        <v>9.0400961538461537</v>
      </c>
      <c r="J12" s="62">
        <f ca="1">IF($U$33="enero",'Base cotización por meses'!C57,IF($U$33="febrero",'Base cotización por meses'!D57,IF($U$33="marzo",'Base cotización por meses'!E57,IF($U$33="abril",'Base cotización por meses'!F57,IF($U$33="mayo",'Base cotización por meses'!G57,IF($U$33="junio",'Base cotización por meses'!H57,IF($U$33="julio",'Base cotización por meses'!I57,IF($U$33="agosto",'Base cotización por meses'!J57,IF($U$33="septiembre",'Base cotización por meses'!K57,IF($U$33="octubre",'Base cotización por meses'!L57,IF($U$33="noviembre",'Base cotización por meses'!M57,IF($U$33="diciembre",'Base cotización por meses'!N57,IF($U$33="media",'Base cotización por meses'!H12)))))))))))))*$U$39</f>
        <v>43.392461538461532</v>
      </c>
      <c r="K12" s="62">
        <f ca="1">IF($U$33="enero",'Base cotización por meses'!C57,IF($U$33="febrero",'Base cotización por meses'!D57,IF($U$33="marzo",'Base cotización por meses'!E57,IF($U$33="abril",'Base cotización por meses'!F57,IF($U$33="mayo",'Base cotización por meses'!G57,IF($U$33="junio",'Base cotización por meses'!H57,IF($U$33="julio",'Base cotización por meses'!I57,IF($U$33="agosto",'Base cotización por meses'!J57,IF($U$33="septiembre",'Base cotización por meses'!K57,IF($U$33="octubre",'Base cotización por meses'!L57,IF($U$33="noviembre",'Base cotización por meses'!M57,IF($U$33="diciembre",'Base cotización por meses'!N57,IF($U$33="media",'Base cotización por meses'!H12)))))))))))))*$U$42</f>
        <v>66.294038461538463</v>
      </c>
      <c r="L12" s="62">
        <f ca="1">IF($U$33="enero",'Base cotización por meses'!C57,IF($U$33="febrero",'Base cotización por meses'!D57,IF($U$33="marzo",'Base cotización por meses'!E57,IF($U$33="abril",'Base cotización por meses'!F57,IF($U$33="mayo",'Base cotización por meses'!G57,IF($U$33="junio",'Base cotización por meses'!H57,IF($U$33="julio",'Base cotización por meses'!I57,IF($U$33="agosto",'Base cotización por meses'!J57,IF($U$33="septiembre",'Base cotización por meses'!K57,IF($U$33="octubre",'Base cotización por meses'!L57,IF($U$33="noviembre",'Base cotización por meses'!M57,IF($U$33="diciembre",'Base cotización por meses'!N57,IF($U$33="media",'Base cotización por meses'!H12)))))))))))))*$U$45</f>
        <v>7.2320769230769226</v>
      </c>
      <c r="M12" s="62">
        <f ca="1">IF($U$33="enero",'Base cotización por meses'!C57,IF($U$33="febrero",'Base cotización por meses'!D57,IF($U$33="marzo",'Base cotización por meses'!E57,IF($U$33="abril",'Base cotización por meses'!F57,IF($U$33="mayo",'Base cotización por meses'!G57,IF($U$33="junio",'Base cotización por meses'!H57,IF($U$33="julio",'Base cotización por meses'!I57,IF($U$33="agosto",'Base cotización por meses'!J57,IF($U$33="septiembre",'Base cotización por meses'!K57,IF($U$33="octubre",'Base cotización por meses'!L57,IF($U$33="noviembre",'Base cotización por meses'!M57,IF($U$33="diciembre",'Base cotización por meses'!N57,IF($U$33="media",'Base cotización por meses'!H12)))))))))))))*$U$48</f>
        <v>2.4106923076923077</v>
      </c>
      <c r="N12" s="79">
        <f ca="1">IF($U$33="enero",'Base cotización por meses'!C57,IF($U$33="febrero",'Base cotización por meses'!D57,IF($U$33="marzo",'Base cotización por meses'!E57,IF($U$33="abril",'Base cotización por meses'!F57,IF($U$33="mayo",'Base cotización por meses'!G57,IF($U$33="junio",'Base cotización por meses'!H57,IF($U$33="julio",'Base cotización por meses'!I57,IF($U$33="agosto",'Base cotización por meses'!J57,IF($U$33="septiembre",'Base cotización por meses'!K57,IF($U$33="octubre",'Base cotización por meses'!L57,IF($U$33="noviembre",'Base cotización por meses'!M57,IF($U$33="diciembre",'Base cotización por meses'!N57,IF($U$33="media",'Base cotización por meses'!H12)))))))))))))*$U$56</f>
        <v>56.65126923076923</v>
      </c>
      <c r="O12" s="74">
        <f ca="1">IF($U$33="enero",'Base cotización por meses'!C57,IF($U$33="febrero",'Base cotización por meses'!D57,IF($U$33="marzo",'Base cotización por meses'!E57,IF($U$33="abril",'Base cotización por meses'!F57,IF($U$33="mayo",'Base cotización por meses'!G57,IF($U$33="junio",'Base cotización por meses'!H57,IF($U$33="julio",'Base cotización por meses'!I57,IF($U$33="agosto",'Base cotización por meses'!J57,IF($U$33="septiembre",'Base cotización por meses'!K57,IF($U$33="octubre",'Base cotización por meses'!L57,IF($U$33="noviembre",'Base cotización por meses'!M57,IF($U$33="diciembre",'Base cotización por meses'!N57,IF($U$33="media",'Base cotización por meses'!H12)))))))))))))*$U$65</f>
        <v>1.8080192307692307</v>
      </c>
      <c r="P12" s="74">
        <f ca="1">IF($U$33="enero",'Base cotización por meses'!C57,IF($U$33="febrero",'Base cotización por meses'!D57,IF($U$33="marzo",'Base cotización por meses'!E57,IF($U$33="abril",'Base cotización por meses'!F57,IF($U$33="mayo",'Base cotización por meses'!G57,IF($U$33="junio",'Base cotización por meses'!H57,IF($U$33="julio",'Base cotización por meses'!I57,IF($U$33="agosto",'Base cotización por meses'!J57,IF($U$33="septiembre",'Base cotización por meses'!K57,IF($U$33="octubre",'Base cotización por meses'!L57,IF($U$33="noviembre",'Base cotización por meses'!M57,IF($U$33="diciembre",'Base cotización por meses'!N57,IF($U$33="media",'Base cotización por meses'!H12)))))))))))))*$U$59</f>
        <v>1.2053461538461538</v>
      </c>
      <c r="Q12" s="74">
        <f ca="1">IF($U$33="enero",'Base cotización por meses'!C57,IF($U$33="febrero",'Base cotización por meses'!D57,IF($U$33="marzo",'Base cotización por meses'!E57,IF($U$33="abril",'Base cotización por meses'!F57,IF($U$33="mayo",'Base cotización por meses'!G57,IF($U$33="junio",'Base cotización por meses'!H57,IF($U$33="julio",'Base cotización por meses'!I57,IF($U$33="agosto",'Base cotización por meses'!J57,IF($U$33="septiembre",'Base cotización por meses'!K57,IF($U$33="octubre",'Base cotización por meses'!L57,IF($U$33="noviembre",'Base cotización por meses'!M57,IF($U$33="diciembre",'Base cotización por meses'!N57,IF($U$33="media",'Base cotización por meses'!H12)))))))))))))*$U$62</f>
        <v>18.682865384615383</v>
      </c>
      <c r="R12" s="82">
        <f t="shared" ca="1" si="2"/>
        <v>1618.1772115384615</v>
      </c>
      <c r="S12" s="86">
        <f t="shared" ca="1" si="3"/>
        <v>1126.9986538461537</v>
      </c>
      <c r="U12" s="193">
        <f>Costes_26!P12</f>
        <v>1424.5</v>
      </c>
      <c r="V12" s="194"/>
      <c r="W12" s="194"/>
      <c r="X12" s="195"/>
      <c r="Y12" s="88" t="s">
        <v>70</v>
      </c>
    </row>
    <row r="13" spans="2:25" ht="16" customHeight="1" thickBot="1">
      <c r="B13" s="3">
        <v>32</v>
      </c>
      <c r="C13" s="9">
        <f t="shared" si="4"/>
        <v>728.10666666666668</v>
      </c>
      <c r="D13" s="9">
        <f t="shared" si="5"/>
        <v>69.481025641025667</v>
      </c>
      <c r="E13" s="9">
        <f t="shared" ca="1" si="6"/>
        <v>106.86358974358976</v>
      </c>
      <c r="F13" s="9">
        <f t="shared" ca="1" si="0"/>
        <v>55.626666666666779</v>
      </c>
      <c r="G13" s="9">
        <f t="shared" ca="1" si="1"/>
        <v>208.7425641025641</v>
      </c>
      <c r="H13" s="62">
        <f ca="1">IF($U$33="enero",'Base cotización por meses'!C58,IF($U$33="febrero",'Base cotización por meses'!D58,IF($U$33="marzo",'Base cotización por meses'!E58,IF($U$33="abril",'Base cotización por meses'!F58,IF($U$33="mayo",'Base cotización por meses'!G58,IF($U$33="junio",'Base cotización por meses'!H58,IF($U$33="julio",'Base cotización por meses'!I58,IF($U$33="agosto",'Base cotización por meses'!J58,IF($U$33="septiembre",'Base cotización por meses'!K58,IF($U$33="octubre",'Base cotización por meses'!L58,IF($U$33="noviembre",'Base cotización por meses'!M58,IF($U$33="diciembre",'Base cotización por meses'!N58,IF($U$33="media",'Base cotización por meses'!H13)))))))))))))*$U$36</f>
        <v>275.84164102564102</v>
      </c>
      <c r="I13" s="62">
        <f ca="1">IF($U$33="enero",'Base cotización por meses'!C58,IF($U$33="febrero",'Base cotización por meses'!D58,IF($U$33="marzo",'Base cotización por meses'!E58,IF($U$33="abril",'Base cotización por meses'!F58,IF($U$33="mayo",'Base cotización por meses'!G58,IF($U$33="junio",'Base cotización por meses'!H58,IF($U$33="julio",'Base cotización por meses'!I58,IF($U$33="agosto",'Base cotización por meses'!J58,IF($U$33="septiembre",'Base cotización por meses'!K58,IF($U$33="octubre",'Base cotización por meses'!L58,IF($U$33="noviembre",'Base cotización por meses'!M58,IF($U$33="diciembre",'Base cotización por meses'!N58,IF($U$33="media",'Base cotización por meses'!H13)))))))))))))*$U$51</f>
        <v>8.7661538461538466</v>
      </c>
      <c r="J13" s="62">
        <f ca="1">IF($U$33="enero",'Base cotización por meses'!C58,IF($U$33="febrero",'Base cotización por meses'!D58,IF($U$33="marzo",'Base cotización por meses'!E58,IF($U$33="abril",'Base cotización por meses'!F58,IF($U$33="mayo",'Base cotización por meses'!G58,IF($U$33="junio",'Base cotización por meses'!H58,IF($U$33="julio",'Base cotización por meses'!I58,IF($U$33="agosto",'Base cotización por meses'!J58,IF($U$33="septiembre",'Base cotización por meses'!K58,IF($U$33="octubre",'Base cotización por meses'!L58,IF($U$33="noviembre",'Base cotización por meses'!M58,IF($U$33="diciembre",'Base cotización por meses'!N58,IF($U$33="media",'Base cotización por meses'!H13)))))))))))))*$U$39</f>
        <v>42.07753846153846</v>
      </c>
      <c r="K13" s="62">
        <f ca="1">IF($U$33="enero",'Base cotización por meses'!C58,IF($U$33="febrero",'Base cotización por meses'!D58,IF($U$33="marzo",'Base cotización por meses'!E58,IF($U$33="abril",'Base cotización por meses'!F58,IF($U$33="mayo",'Base cotización por meses'!G58,IF($U$33="junio",'Base cotización por meses'!H58,IF($U$33="julio",'Base cotización por meses'!I58,IF($U$33="agosto",'Base cotización por meses'!J58,IF($U$33="septiembre",'Base cotización por meses'!K58,IF($U$33="octubre",'Base cotización por meses'!L58,IF($U$33="noviembre",'Base cotización por meses'!M58,IF($U$33="diciembre",'Base cotización por meses'!N58,IF($U$33="media",'Base cotización por meses'!H13)))))))))))))*$U$42</f>
        <v>64.285128205128217</v>
      </c>
      <c r="L13" s="62">
        <f ca="1">IF($U$33="enero",'Base cotización por meses'!C58,IF($U$33="febrero",'Base cotización por meses'!D58,IF($U$33="marzo",'Base cotización por meses'!E58,IF($U$33="abril",'Base cotización por meses'!F58,IF($U$33="mayo",'Base cotización por meses'!G58,IF($U$33="junio",'Base cotización por meses'!H58,IF($U$33="julio",'Base cotización por meses'!I58,IF($U$33="agosto",'Base cotización por meses'!J58,IF($U$33="septiembre",'Base cotización por meses'!K58,IF($U$33="octubre",'Base cotización por meses'!L58,IF($U$33="noviembre",'Base cotización por meses'!M58,IF($U$33="diciembre",'Base cotización por meses'!N58,IF($U$33="media",'Base cotización por meses'!H13)))))))))))))*$U$45</f>
        <v>7.0129230769230775</v>
      </c>
      <c r="M13" s="62">
        <f ca="1">IF($U$33="enero",'Base cotización por meses'!C58,IF($U$33="febrero",'Base cotización por meses'!D58,IF($U$33="marzo",'Base cotización por meses'!E58,IF($U$33="abril",'Base cotización por meses'!F58,IF($U$33="mayo",'Base cotización por meses'!G58,IF($U$33="junio",'Base cotización por meses'!H58,IF($U$33="julio",'Base cotización por meses'!I58,IF($U$33="agosto",'Base cotización por meses'!J58,IF($U$33="septiembre",'Base cotización por meses'!K58,IF($U$33="octubre",'Base cotización por meses'!L58,IF($U$33="noviembre",'Base cotización por meses'!M58,IF($U$33="diciembre",'Base cotización por meses'!N58,IF($U$33="media",'Base cotización por meses'!H13)))))))))))))*$U$48</f>
        <v>2.3376410256410258</v>
      </c>
      <c r="N13" s="79">
        <f ca="1">IF($U$33="enero",'Base cotización por meses'!C58,IF($U$33="febrero",'Base cotización por meses'!D58,IF($U$33="marzo",'Base cotización por meses'!E58,IF($U$33="abril",'Base cotización por meses'!F58,IF($U$33="mayo",'Base cotización por meses'!G58,IF($U$33="junio",'Base cotización por meses'!H58,IF($U$33="julio",'Base cotización por meses'!I58,IF($U$33="agosto",'Base cotización por meses'!J58,IF($U$33="septiembre",'Base cotización por meses'!K58,IF($U$33="octubre",'Base cotización por meses'!L58,IF($U$33="noviembre",'Base cotización por meses'!M58,IF($U$33="diciembre",'Base cotización por meses'!N58,IF($U$33="media",'Base cotización por meses'!H13)))))))))))))*$U$56</f>
        <v>54.93456410256411</v>
      </c>
      <c r="O13" s="74">
        <f ca="1">IF($U$33="enero",'Base cotización por meses'!C58,IF($U$33="febrero",'Base cotización por meses'!D58,IF($U$33="marzo",'Base cotización por meses'!E58,IF($U$33="abril",'Base cotización por meses'!F58,IF($U$33="mayo",'Base cotización por meses'!G58,IF($U$33="junio",'Base cotización por meses'!H58,IF($U$33="julio",'Base cotización por meses'!I58,IF($U$33="agosto",'Base cotización por meses'!J58,IF($U$33="septiembre",'Base cotización por meses'!K58,IF($U$33="octubre",'Base cotización por meses'!L58,IF($U$33="noviembre",'Base cotización por meses'!M58,IF($U$33="diciembre",'Base cotización por meses'!N58,IF($U$33="media",'Base cotización por meses'!H13)))))))))))))*$U$65</f>
        <v>1.7532307692307694</v>
      </c>
      <c r="P13" s="74">
        <f ca="1">IF($U$33="enero",'Base cotización por meses'!C58,IF($U$33="febrero",'Base cotización por meses'!D58,IF($U$33="marzo",'Base cotización por meses'!E58,IF($U$33="abril",'Base cotización por meses'!F58,IF($U$33="mayo",'Base cotización por meses'!G58,IF($U$33="junio",'Base cotización por meses'!H58,IF($U$33="julio",'Base cotización por meses'!I58,IF($U$33="agosto",'Base cotización por meses'!J58,IF($U$33="septiembre",'Base cotización por meses'!K58,IF($U$33="octubre",'Base cotización por meses'!L58,IF($U$33="noviembre",'Base cotización por meses'!M58,IF($U$33="diciembre",'Base cotización por meses'!N58,IF($U$33="media",'Base cotización por meses'!H13)))))))))))))*$U$59</f>
        <v>1.1688205128205129</v>
      </c>
      <c r="Q13" s="74">
        <f ca="1">IF($U$33="enero",'Base cotización por meses'!C58,IF($U$33="febrero",'Base cotización por meses'!D58,IF($U$33="marzo",'Base cotización por meses'!E58,IF($U$33="abril",'Base cotización por meses'!F58,IF($U$33="mayo",'Base cotización por meses'!G58,IF($U$33="junio",'Base cotización por meses'!H58,IF($U$33="julio",'Base cotización por meses'!I58,IF($U$33="agosto",'Base cotización por meses'!J58,IF($U$33="septiembre",'Base cotización por meses'!K58,IF($U$33="octubre",'Base cotización por meses'!L58,IF($U$33="noviembre",'Base cotización por meses'!M58,IF($U$33="diciembre",'Base cotización por meses'!N58,IF($U$33="media",'Base cotización por meses'!H13)))))))))))))*$U$62</f>
        <v>18.116717948717952</v>
      </c>
      <c r="R13" s="82">
        <f t="shared" ca="1" si="2"/>
        <v>1569.1415384615389</v>
      </c>
      <c r="S13" s="86">
        <f t="shared" ca="1" si="3"/>
        <v>1092.8471794871796</v>
      </c>
      <c r="T13" s="10"/>
      <c r="U13" s="10"/>
      <c r="V13" s="10"/>
    </row>
    <row r="14" spans="2:25" ht="16" customHeight="1" thickBot="1">
      <c r="B14" s="3">
        <v>31</v>
      </c>
      <c r="C14" s="9">
        <f t="shared" si="4"/>
        <v>705.35333333333335</v>
      </c>
      <c r="D14" s="9">
        <f t="shared" si="5"/>
        <v>67.309743589743618</v>
      </c>
      <c r="E14" s="9">
        <f t="shared" ca="1" si="6"/>
        <v>103.52410256410258</v>
      </c>
      <c r="F14" s="9">
        <f t="shared" ca="1" si="0"/>
        <v>53.888333333333321</v>
      </c>
      <c r="G14" s="9">
        <f t="shared" ca="1" si="1"/>
        <v>202.21935897435898</v>
      </c>
      <c r="H14" s="62">
        <f ca="1">IF($U$33="enero",'Base cotización por meses'!C59,IF($U$33="febrero",'Base cotización por meses'!D59,IF($U$33="marzo",'Base cotización por meses'!E59,IF($U$33="abril",'Base cotización por meses'!F59,IF($U$33="mayo",'Base cotización por meses'!G59,IF($U$33="junio",'Base cotización por meses'!H59,IF($U$33="julio",'Base cotización por meses'!I59,IF($U$33="agosto",'Base cotización por meses'!J59,IF($U$33="septiembre",'Base cotización por meses'!K59,IF($U$33="octubre",'Base cotización por meses'!L59,IF($U$33="noviembre",'Base cotización por meses'!M59,IF($U$33="diciembre",'Base cotización por meses'!N59,IF($U$33="media",'Base cotización por meses'!H14)))))))))))))*$U$36</f>
        <v>267.22158974358973</v>
      </c>
      <c r="I14" s="62">
        <f ca="1">IF($U$33="enero",'Base cotización por meses'!C59,IF($U$33="febrero",'Base cotización por meses'!D59,IF($U$33="marzo",'Base cotización por meses'!E59,IF($U$33="abril",'Base cotización por meses'!F59,IF($U$33="mayo",'Base cotización por meses'!G59,IF($U$33="junio",'Base cotización por meses'!H59,IF($U$33="julio",'Base cotización por meses'!I59,IF($U$33="agosto",'Base cotización por meses'!J59,IF($U$33="septiembre",'Base cotización por meses'!K59,IF($U$33="octubre",'Base cotización por meses'!L59,IF($U$33="noviembre",'Base cotización por meses'!M59,IF($U$33="diciembre",'Base cotización por meses'!N59,IF($U$33="media",'Base cotización por meses'!H14)))))))))))))*$U$51</f>
        <v>8.4922115384615378</v>
      </c>
      <c r="J14" s="62">
        <f ca="1">IF($U$33="enero",'Base cotización por meses'!C59,IF($U$33="febrero",'Base cotización por meses'!D59,IF($U$33="marzo",'Base cotización por meses'!E59,IF($U$33="abril",'Base cotización por meses'!F59,IF($U$33="mayo",'Base cotización por meses'!G59,IF($U$33="junio",'Base cotización por meses'!H59,IF($U$33="julio",'Base cotización por meses'!I59,IF($U$33="agosto",'Base cotización por meses'!J59,IF($U$33="septiembre",'Base cotización por meses'!K59,IF($U$33="octubre",'Base cotización por meses'!L59,IF($U$33="noviembre",'Base cotización por meses'!M59,IF($U$33="diciembre",'Base cotización por meses'!N59,IF($U$33="media",'Base cotización por meses'!H14)))))))))))))*$U$39</f>
        <v>40.76261538461538</v>
      </c>
      <c r="K14" s="62">
        <f ca="1">IF($U$33="enero",'Base cotización por meses'!C59,IF($U$33="febrero",'Base cotización por meses'!D59,IF($U$33="marzo",'Base cotización por meses'!E59,IF($U$33="abril",'Base cotización por meses'!F59,IF($U$33="mayo",'Base cotización por meses'!G59,IF($U$33="junio",'Base cotización por meses'!H59,IF($U$33="julio",'Base cotización por meses'!I59,IF($U$33="agosto",'Base cotización por meses'!J59,IF($U$33="septiembre",'Base cotización por meses'!K59,IF($U$33="octubre",'Base cotización por meses'!L59,IF($U$33="noviembre",'Base cotización por meses'!M59,IF($U$33="diciembre",'Base cotización por meses'!N59,IF($U$33="media",'Base cotización por meses'!H14)))))))))))))*$U$42</f>
        <v>62.276217948717949</v>
      </c>
      <c r="L14" s="62">
        <f ca="1">IF($U$33="enero",'Base cotización por meses'!C59,IF($U$33="febrero",'Base cotización por meses'!D59,IF($U$33="marzo",'Base cotización por meses'!E59,IF($U$33="abril",'Base cotización por meses'!F59,IF($U$33="mayo",'Base cotización por meses'!G59,IF($U$33="junio",'Base cotización por meses'!H59,IF($U$33="julio",'Base cotización por meses'!I59,IF($U$33="agosto",'Base cotización por meses'!J59,IF($U$33="septiembre",'Base cotización por meses'!K59,IF($U$33="octubre",'Base cotización por meses'!L59,IF($U$33="noviembre",'Base cotización por meses'!M59,IF($U$33="diciembre",'Base cotización por meses'!N59,IF($U$33="media",'Base cotización por meses'!H14)))))))))))))*$U$45</f>
        <v>6.7937692307692314</v>
      </c>
      <c r="M14" s="62">
        <f ca="1">IF($U$33="enero",'Base cotización por meses'!C59,IF($U$33="febrero",'Base cotización por meses'!D59,IF($U$33="marzo",'Base cotización por meses'!E59,IF($U$33="abril",'Base cotización por meses'!F59,IF($U$33="mayo",'Base cotización por meses'!G59,IF($U$33="junio",'Base cotización por meses'!H59,IF($U$33="julio",'Base cotización por meses'!I59,IF($U$33="agosto",'Base cotización por meses'!J59,IF($U$33="septiembre",'Base cotización por meses'!K59,IF($U$33="octubre",'Base cotización por meses'!L59,IF($U$33="noviembre",'Base cotización por meses'!M59,IF($U$33="diciembre",'Base cotización por meses'!N59,IF($U$33="media",'Base cotización por meses'!H14)))))))))))))*$U$48</f>
        <v>2.2645897435897435</v>
      </c>
      <c r="N14" s="79">
        <f ca="1">IF($U$33="enero",'Base cotización por meses'!C59,IF($U$33="febrero",'Base cotización por meses'!D59,IF($U$33="marzo",'Base cotización por meses'!E59,IF($U$33="abril",'Base cotización por meses'!F59,IF($U$33="mayo",'Base cotización por meses'!G59,IF($U$33="junio",'Base cotización por meses'!H59,IF($U$33="julio",'Base cotización por meses'!I59,IF($U$33="agosto",'Base cotización por meses'!J59,IF($U$33="septiembre",'Base cotización por meses'!K59,IF($U$33="octubre",'Base cotización por meses'!L59,IF($U$33="noviembre",'Base cotización por meses'!M59,IF($U$33="diciembre",'Base cotización por meses'!N59,IF($U$33="media",'Base cotización por meses'!H14)))))))))))))*$U$56</f>
        <v>53.217858974358975</v>
      </c>
      <c r="O14" s="74">
        <f ca="1">IF($U$33="enero",'Base cotización por meses'!C59,IF($U$33="febrero",'Base cotización por meses'!D59,IF($U$33="marzo",'Base cotización por meses'!E59,IF($U$33="abril",'Base cotización por meses'!F59,IF($U$33="mayo",'Base cotización por meses'!G59,IF($U$33="junio",'Base cotización por meses'!H59,IF($U$33="julio",'Base cotización por meses'!I59,IF($U$33="agosto",'Base cotización por meses'!J59,IF($U$33="septiembre",'Base cotización por meses'!K59,IF($U$33="octubre",'Base cotización por meses'!L59,IF($U$33="noviembre",'Base cotización por meses'!M59,IF($U$33="diciembre",'Base cotización por meses'!N59,IF($U$33="media",'Base cotización por meses'!H14)))))))))))))*$U$65</f>
        <v>1.6984423076923079</v>
      </c>
      <c r="P14" s="74">
        <f ca="1">IF($U$33="enero",'Base cotización por meses'!C59,IF($U$33="febrero",'Base cotización por meses'!D59,IF($U$33="marzo",'Base cotización por meses'!E59,IF($U$33="abril",'Base cotización por meses'!F59,IF($U$33="mayo",'Base cotización por meses'!G59,IF($U$33="junio",'Base cotización por meses'!H59,IF($U$33="julio",'Base cotización por meses'!I59,IF($U$33="agosto",'Base cotización por meses'!J59,IF($U$33="septiembre",'Base cotización por meses'!K59,IF($U$33="octubre",'Base cotización por meses'!L59,IF($U$33="noviembre",'Base cotización por meses'!M59,IF($U$33="diciembre",'Base cotización por meses'!N59,IF($U$33="media",'Base cotización por meses'!H14)))))))))))))*$U$59</f>
        <v>1.1322948717948718</v>
      </c>
      <c r="Q14" s="74">
        <f ca="1">IF($U$33="enero",'Base cotización por meses'!C59,IF($U$33="febrero",'Base cotización por meses'!D59,IF($U$33="marzo",'Base cotización por meses'!E59,IF($U$33="abril",'Base cotización por meses'!F59,IF($U$33="mayo",'Base cotización por meses'!G59,IF($U$33="junio",'Base cotización por meses'!H59,IF($U$33="julio",'Base cotización por meses'!I59,IF($U$33="agosto",'Base cotización por meses'!J59,IF($U$33="septiembre",'Base cotización por meses'!K59,IF($U$33="octubre",'Base cotización por meses'!L59,IF($U$33="noviembre",'Base cotización por meses'!M59,IF($U$33="diciembre",'Base cotización por meses'!N59,IF($U$33="media",'Base cotización por meses'!H14)))))))))))))*$U$62</f>
        <v>17.550570512820514</v>
      </c>
      <c r="R14" s="82">
        <f t="shared" ca="1" si="2"/>
        <v>1520.1058653846153</v>
      </c>
      <c r="S14" s="86">
        <f t="shared" ca="1" si="3"/>
        <v>1058.6957051282052</v>
      </c>
      <c r="T14" s="10"/>
      <c r="U14" s="64" t="s">
        <v>54</v>
      </c>
      <c r="V14" s="64" t="s">
        <v>55</v>
      </c>
    </row>
    <row r="15" spans="2:25">
      <c r="B15" s="3">
        <v>30</v>
      </c>
      <c r="C15" s="9">
        <f t="shared" si="4"/>
        <v>682.6</v>
      </c>
      <c r="D15" s="9">
        <f t="shared" si="5"/>
        <v>65.13846153846157</v>
      </c>
      <c r="E15" s="9">
        <f t="shared" ca="1" si="6"/>
        <v>100.1846153846154</v>
      </c>
      <c r="F15" s="9">
        <f t="shared" ca="1" si="0"/>
        <v>52.150000000000091</v>
      </c>
      <c r="G15" s="9">
        <f t="shared" ca="1" si="1"/>
        <v>195.69615384615386</v>
      </c>
      <c r="H15" s="62">
        <f ca="1">IF($U$33="enero",'Base cotización por meses'!C60,IF($U$33="febrero",'Base cotización por meses'!D60,IF($U$33="marzo",'Base cotización por meses'!E60,IF($U$33="abril",'Base cotización por meses'!F60,IF($U$33="mayo",'Base cotización por meses'!G60,IF($U$33="junio",'Base cotización por meses'!H60,IF($U$33="julio",'Base cotización por meses'!I60,IF($U$33="agosto",'Base cotización por meses'!J60,IF($U$33="septiembre",'Base cotización por meses'!K60,IF($U$33="octubre",'Base cotización por meses'!L60,IF($U$33="noviembre",'Base cotización por meses'!M60,IF($U$33="diciembre",'Base cotización por meses'!N60,IF($U$33="media",'Base cotización por meses'!H15)))))))))))))*$U$36</f>
        <v>258.6015384615385</v>
      </c>
      <c r="I15" s="62">
        <f ca="1">IF($U$33="enero",'Base cotización por meses'!C60,IF($U$33="febrero",'Base cotización por meses'!D60,IF($U$33="marzo",'Base cotización por meses'!E60,IF($U$33="abril",'Base cotización por meses'!F60,IF($U$33="mayo",'Base cotización por meses'!G60,IF($U$33="junio",'Base cotización por meses'!H60,IF($U$33="julio",'Base cotización por meses'!I60,IF($U$33="agosto",'Base cotización por meses'!J60,IF($U$33="septiembre",'Base cotización por meses'!K60,IF($U$33="octubre",'Base cotización por meses'!L60,IF($U$33="noviembre",'Base cotización por meses'!M60,IF($U$33="diciembre",'Base cotización por meses'!N60,IF($U$33="media",'Base cotización por meses'!H15)))))))))))))*$U$51</f>
        <v>8.2182692307692324</v>
      </c>
      <c r="J15" s="62">
        <f ca="1">IF($U$33="enero",'Base cotización por meses'!C60,IF($U$33="febrero",'Base cotización por meses'!D60,IF($U$33="marzo",'Base cotización por meses'!E60,IF($U$33="abril",'Base cotización por meses'!F60,IF($U$33="mayo",'Base cotización por meses'!G60,IF($U$33="junio",'Base cotización por meses'!H60,IF($U$33="julio",'Base cotización por meses'!I60,IF($U$33="agosto",'Base cotización por meses'!J60,IF($U$33="septiembre",'Base cotización por meses'!K60,IF($U$33="octubre",'Base cotización por meses'!L60,IF($U$33="noviembre",'Base cotización por meses'!M60,IF($U$33="diciembre",'Base cotización por meses'!N60,IF($U$33="media",'Base cotización por meses'!H15)))))))))))))*$U$39</f>
        <v>39.447692307692314</v>
      </c>
      <c r="K15" s="62">
        <f ca="1">IF($U$33="enero",'Base cotización por meses'!C60,IF($U$33="febrero",'Base cotización por meses'!D60,IF($U$33="marzo",'Base cotización por meses'!E60,IF($U$33="abril",'Base cotización por meses'!F60,IF($U$33="mayo",'Base cotización por meses'!G60,IF($U$33="junio",'Base cotización por meses'!H60,IF($U$33="julio",'Base cotización por meses'!I60,IF($U$33="agosto",'Base cotización por meses'!J60,IF($U$33="septiembre",'Base cotización por meses'!K60,IF($U$33="octubre",'Base cotización por meses'!L60,IF($U$33="noviembre",'Base cotización por meses'!M60,IF($U$33="diciembre",'Base cotización por meses'!N60,IF($U$33="media",'Base cotización por meses'!H15)))))))))))))*$U$42</f>
        <v>60.267307692307703</v>
      </c>
      <c r="L15" s="62">
        <f ca="1">IF($U$33="enero",'Base cotización por meses'!C60,IF($U$33="febrero",'Base cotización por meses'!D60,IF($U$33="marzo",'Base cotización por meses'!E60,IF($U$33="abril",'Base cotización por meses'!F60,IF($U$33="mayo",'Base cotización por meses'!G60,IF($U$33="junio",'Base cotización por meses'!H60,IF($U$33="julio",'Base cotización por meses'!I60,IF($U$33="agosto",'Base cotización por meses'!J60,IF($U$33="septiembre",'Base cotización por meses'!K60,IF($U$33="octubre",'Base cotización por meses'!L60,IF($U$33="noviembre",'Base cotización por meses'!M60,IF($U$33="diciembre",'Base cotización por meses'!N60,IF($U$33="media",'Base cotización por meses'!H15)))))))))))))*$U$45</f>
        <v>6.5746153846153854</v>
      </c>
      <c r="M15" s="62">
        <f ca="1">IF($U$33="enero",'Base cotización por meses'!C60,IF($U$33="febrero",'Base cotización por meses'!D60,IF($U$33="marzo",'Base cotización por meses'!E60,IF($U$33="abril",'Base cotización por meses'!F60,IF($U$33="mayo",'Base cotización por meses'!G60,IF($U$33="junio",'Base cotización por meses'!H60,IF($U$33="julio",'Base cotización por meses'!I60,IF($U$33="agosto",'Base cotización por meses'!J60,IF($U$33="septiembre",'Base cotización por meses'!K60,IF($U$33="octubre",'Base cotización por meses'!L60,IF($U$33="noviembre",'Base cotización por meses'!M60,IF($U$33="diciembre",'Base cotización por meses'!N60,IF($U$33="media",'Base cotización por meses'!H15)))))))))))))*$U$48</f>
        <v>2.1915384615384621</v>
      </c>
      <c r="N15" s="79">
        <f ca="1">IF($U$33="enero",'Base cotización por meses'!C60,IF($U$33="febrero",'Base cotización por meses'!D60,IF($U$33="marzo",'Base cotización por meses'!E60,IF($U$33="abril",'Base cotización por meses'!F60,IF($U$33="mayo",'Base cotización por meses'!G60,IF($U$33="junio",'Base cotización por meses'!H60,IF($U$33="julio",'Base cotización por meses'!I60,IF($U$33="agosto",'Base cotización por meses'!J60,IF($U$33="septiembre",'Base cotización por meses'!K60,IF($U$33="octubre",'Base cotización por meses'!L60,IF($U$33="noviembre",'Base cotización por meses'!M60,IF($U$33="diciembre",'Base cotización por meses'!N60,IF($U$33="media",'Base cotización por meses'!H15)))))))))))))*$U$56</f>
        <v>51.501153846153855</v>
      </c>
      <c r="O15" s="74">
        <f ca="1">IF($U$33="enero",'Base cotización por meses'!C60,IF($U$33="febrero",'Base cotización por meses'!D60,IF($U$33="marzo",'Base cotización por meses'!E60,IF($U$33="abril",'Base cotización por meses'!F60,IF($U$33="mayo",'Base cotización por meses'!G60,IF($U$33="junio",'Base cotización por meses'!H60,IF($U$33="julio",'Base cotización por meses'!I60,IF($U$33="agosto",'Base cotización por meses'!J60,IF($U$33="septiembre",'Base cotización por meses'!K60,IF($U$33="octubre",'Base cotización por meses'!L60,IF($U$33="noviembre",'Base cotización por meses'!M60,IF($U$33="diciembre",'Base cotización por meses'!N60,IF($U$33="media",'Base cotización por meses'!H15)))))))))))))*$U$65</f>
        <v>1.6436538461538464</v>
      </c>
      <c r="P15" s="74">
        <f ca="1">IF($U$33="enero",'Base cotización por meses'!C60,IF($U$33="febrero",'Base cotización por meses'!D60,IF($U$33="marzo",'Base cotización por meses'!E60,IF($U$33="abril",'Base cotización por meses'!F60,IF($U$33="mayo",'Base cotización por meses'!G60,IF($U$33="junio",'Base cotización por meses'!H60,IF($U$33="julio",'Base cotización por meses'!I60,IF($U$33="agosto",'Base cotización por meses'!J60,IF($U$33="septiembre",'Base cotización por meses'!K60,IF($U$33="octubre",'Base cotización por meses'!L60,IF($U$33="noviembre",'Base cotización por meses'!M60,IF($U$33="diciembre",'Base cotización por meses'!N60,IF($U$33="media",'Base cotización por meses'!H15)))))))))))))*$U$59</f>
        <v>1.0957692307692311</v>
      </c>
      <c r="Q15" s="74">
        <f ca="1">IF($U$33="enero",'Base cotización por meses'!C60,IF($U$33="febrero",'Base cotización por meses'!D60,IF($U$33="marzo",'Base cotización por meses'!E60,IF($U$33="abril",'Base cotización por meses'!F60,IF($U$33="mayo",'Base cotización por meses'!G60,IF($U$33="junio",'Base cotización por meses'!H60,IF($U$33="julio",'Base cotización por meses'!I60,IF($U$33="agosto",'Base cotización por meses'!J60,IF($U$33="septiembre",'Base cotización por meses'!K60,IF($U$33="octubre",'Base cotización por meses'!L60,IF($U$33="noviembre",'Base cotización por meses'!M60,IF($U$33="diciembre",'Base cotización por meses'!N60,IF($U$33="media",'Base cotización por meses'!H15)))))))))))))*$U$62</f>
        <v>16.984423076923079</v>
      </c>
      <c r="R15" s="82">
        <f t="shared" ca="1" si="2"/>
        <v>1471.0701923076922</v>
      </c>
      <c r="S15" s="86">
        <f t="shared" ca="1" si="3"/>
        <v>1024.544230769231</v>
      </c>
      <c r="U15" s="66" t="s">
        <v>56</v>
      </c>
      <c r="V15" s="67">
        <f ca="1">'Calendario Laboral 2026'!H20</f>
        <v>20</v>
      </c>
    </row>
    <row r="16" spans="2:25">
      <c r="B16" s="3">
        <v>29</v>
      </c>
      <c r="C16" s="9">
        <f t="shared" si="4"/>
        <v>659.84666666666669</v>
      </c>
      <c r="D16" s="9">
        <f t="shared" si="5"/>
        <v>62.967179487179521</v>
      </c>
      <c r="E16" s="9">
        <f t="shared" ca="1" si="6"/>
        <v>96.845128205128219</v>
      </c>
      <c r="F16" s="9">
        <f t="shared" ca="1" si="0"/>
        <v>50.411666666666633</v>
      </c>
      <c r="G16" s="9">
        <f t="shared" ca="1" si="1"/>
        <v>189.17294871794871</v>
      </c>
      <c r="H16" s="62">
        <f ca="1">IF($U$33="enero",'Base cotización por meses'!C61,IF($U$33="febrero",'Base cotización por meses'!D61,IF($U$33="marzo",'Base cotización por meses'!E61,IF($U$33="abril",'Base cotización por meses'!F61,IF($U$33="mayo",'Base cotización por meses'!G61,IF($U$33="junio",'Base cotización por meses'!H61,IF($U$33="julio",'Base cotización por meses'!I61,IF($U$33="agosto",'Base cotización por meses'!J61,IF($U$33="septiembre",'Base cotización por meses'!K61,IF($U$33="octubre",'Base cotización por meses'!L61,IF($U$33="noviembre",'Base cotización por meses'!M61,IF($U$33="diciembre",'Base cotización por meses'!N61,IF($U$33="media",'Base cotización por meses'!H16)))))))))))))*$U$36</f>
        <v>249.98148717948717</v>
      </c>
      <c r="I16" s="62">
        <f ca="1">IF($U$33="enero",'Base cotización por meses'!C61,IF($U$33="febrero",'Base cotización por meses'!D61,IF($U$33="marzo",'Base cotización por meses'!E61,IF($U$33="abril",'Base cotización por meses'!F61,IF($U$33="mayo",'Base cotización por meses'!G61,IF($U$33="junio",'Base cotización por meses'!H61,IF($U$33="julio",'Base cotización por meses'!I61,IF($U$33="agosto",'Base cotización por meses'!J61,IF($U$33="septiembre",'Base cotización por meses'!K61,IF($U$33="octubre",'Base cotización por meses'!L61,IF($U$33="noviembre",'Base cotización por meses'!M61,IF($U$33="diciembre",'Base cotización por meses'!N61,IF($U$33="media",'Base cotización por meses'!H16)))))))))))))*$U$51</f>
        <v>7.9443269230769236</v>
      </c>
      <c r="J16" s="62">
        <f ca="1">IF($U$33="enero",'Base cotización por meses'!C61,IF($U$33="febrero",'Base cotización por meses'!D61,IF($U$33="marzo",'Base cotización por meses'!E61,IF($U$33="abril",'Base cotización por meses'!F61,IF($U$33="mayo",'Base cotización por meses'!G61,IF($U$33="junio",'Base cotización por meses'!H61,IF($U$33="julio",'Base cotización por meses'!I61,IF($U$33="agosto",'Base cotización por meses'!J61,IF($U$33="septiembre",'Base cotización por meses'!K61,IF($U$33="octubre",'Base cotización por meses'!L61,IF($U$33="noviembre",'Base cotización por meses'!M61,IF($U$33="diciembre",'Base cotización por meses'!N61,IF($U$33="media",'Base cotización por meses'!H16)))))))))))))*$U$39</f>
        <v>38.132769230769235</v>
      </c>
      <c r="K16" s="62">
        <f ca="1">IF($U$33="enero",'Base cotización por meses'!C61,IF($U$33="febrero",'Base cotización por meses'!D61,IF($U$33="marzo",'Base cotización por meses'!E61,IF($U$33="abril",'Base cotización por meses'!F61,IF($U$33="mayo",'Base cotización por meses'!G61,IF($U$33="junio",'Base cotización por meses'!H61,IF($U$33="julio",'Base cotización por meses'!I61,IF($U$33="agosto",'Base cotización por meses'!J61,IF($U$33="septiembre",'Base cotización por meses'!K61,IF($U$33="octubre",'Base cotización por meses'!L61,IF($U$33="noviembre",'Base cotización por meses'!M61,IF($U$33="diciembre",'Base cotización por meses'!N61,IF($U$33="media",'Base cotización por meses'!H16)))))))))))))*$U$42</f>
        <v>58.258397435897443</v>
      </c>
      <c r="L16" s="62">
        <f ca="1">IF($U$33="enero",'Base cotización por meses'!C61,IF($U$33="febrero",'Base cotización por meses'!D61,IF($U$33="marzo",'Base cotización por meses'!E61,IF($U$33="abril",'Base cotización por meses'!F61,IF($U$33="mayo",'Base cotización por meses'!G61,IF($U$33="junio",'Base cotización por meses'!H61,IF($U$33="julio",'Base cotización por meses'!I61,IF($U$33="agosto",'Base cotización por meses'!J61,IF($U$33="septiembre",'Base cotización por meses'!K61,IF($U$33="octubre",'Base cotización por meses'!L61,IF($U$33="noviembre",'Base cotización por meses'!M61,IF($U$33="diciembre",'Base cotización por meses'!N61,IF($U$33="media",'Base cotización por meses'!H16)))))))))))))*$U$45</f>
        <v>6.3554615384615394</v>
      </c>
      <c r="M16" s="62">
        <f ca="1">IF($U$33="enero",'Base cotización por meses'!C61,IF($U$33="febrero",'Base cotización por meses'!D61,IF($U$33="marzo",'Base cotización por meses'!E61,IF($U$33="abril",'Base cotización por meses'!F61,IF($U$33="mayo",'Base cotización por meses'!G61,IF($U$33="junio",'Base cotización por meses'!H61,IF($U$33="julio",'Base cotización por meses'!I61,IF($U$33="agosto",'Base cotización por meses'!J61,IF($U$33="septiembre",'Base cotización por meses'!K61,IF($U$33="octubre",'Base cotización por meses'!L61,IF($U$33="noviembre",'Base cotización por meses'!M61,IF($U$33="diciembre",'Base cotización por meses'!N61,IF($U$33="media",'Base cotización por meses'!H16)))))))))))))*$U$48</f>
        <v>2.1184871794871798</v>
      </c>
      <c r="N16" s="79">
        <f ca="1">IF($U$33="enero",'Base cotización por meses'!C61,IF($U$33="febrero",'Base cotización por meses'!D61,IF($U$33="marzo",'Base cotización por meses'!E61,IF($U$33="abril",'Base cotización por meses'!F61,IF($U$33="mayo",'Base cotización por meses'!G61,IF($U$33="junio",'Base cotización por meses'!H61,IF($U$33="julio",'Base cotización por meses'!I61,IF($U$33="agosto",'Base cotización por meses'!J61,IF($U$33="septiembre",'Base cotización por meses'!K61,IF($U$33="octubre",'Base cotización por meses'!L61,IF($U$33="noviembre",'Base cotización por meses'!M61,IF($U$33="diciembre",'Base cotización por meses'!N61,IF($U$33="media",'Base cotización por meses'!H16)))))))))))))*$U$56</f>
        <v>49.78444871794872</v>
      </c>
      <c r="O16" s="74">
        <f ca="1">IF($U$33="enero",'Base cotización por meses'!C61,IF($U$33="febrero",'Base cotización por meses'!D61,IF($U$33="marzo",'Base cotización por meses'!E61,IF($U$33="abril",'Base cotización por meses'!F61,IF($U$33="mayo",'Base cotización por meses'!G61,IF($U$33="junio",'Base cotización por meses'!H61,IF($U$33="julio",'Base cotización por meses'!I61,IF($U$33="agosto",'Base cotización por meses'!J61,IF($U$33="septiembre",'Base cotización por meses'!K61,IF($U$33="octubre",'Base cotización por meses'!L61,IF($U$33="noviembre",'Base cotización por meses'!M61,IF($U$33="diciembre",'Base cotización por meses'!N61,IF($U$33="media",'Base cotización por meses'!H16)))))))))))))*$U$65</f>
        <v>1.5888653846153848</v>
      </c>
      <c r="P16" s="74">
        <f ca="1">IF($U$33="enero",'Base cotización por meses'!C61,IF($U$33="febrero",'Base cotización por meses'!D61,IF($U$33="marzo",'Base cotización por meses'!E61,IF($U$33="abril",'Base cotización por meses'!F61,IF($U$33="mayo",'Base cotización por meses'!G61,IF($U$33="junio",'Base cotización por meses'!H61,IF($U$33="julio",'Base cotización por meses'!I61,IF($U$33="agosto",'Base cotización por meses'!J61,IF($U$33="septiembre",'Base cotización por meses'!K61,IF($U$33="octubre",'Base cotización por meses'!L61,IF($U$33="noviembre",'Base cotización por meses'!M61,IF($U$33="diciembre",'Base cotización por meses'!N61,IF($U$33="media",'Base cotización por meses'!H16)))))))))))))*$U$59</f>
        <v>1.0592435897435899</v>
      </c>
      <c r="Q16" s="74">
        <f ca="1">IF($U$33="enero",'Base cotización por meses'!C61,IF($U$33="febrero",'Base cotización por meses'!D61,IF($U$33="marzo",'Base cotización por meses'!E61,IF($U$33="abril",'Base cotización por meses'!F61,IF($U$33="mayo",'Base cotización por meses'!G61,IF($U$33="junio",'Base cotización por meses'!H61,IF($U$33="julio",'Base cotización por meses'!I61,IF($U$33="agosto",'Base cotización por meses'!J61,IF($U$33="septiembre",'Base cotización por meses'!K61,IF($U$33="octubre",'Base cotización por meses'!L61,IF($U$33="noviembre",'Base cotización por meses'!M61,IF($U$33="diciembre",'Base cotización por meses'!N61,IF($U$33="media",'Base cotización por meses'!H16)))))))))))))*$U$62</f>
        <v>16.418275641025641</v>
      </c>
      <c r="R16" s="82">
        <f t="shared" ca="1" si="2"/>
        <v>1422.0345192307693</v>
      </c>
      <c r="S16" s="86">
        <f t="shared" ca="1" si="3"/>
        <v>990.39275641025654</v>
      </c>
      <c r="T16" s="10"/>
      <c r="U16" s="68" t="s">
        <v>57</v>
      </c>
      <c r="V16" s="67">
        <f ca="1">'Calendario Laboral 2026'!P20</f>
        <v>20</v>
      </c>
    </row>
    <row r="17" spans="2:26">
      <c r="B17" s="3">
        <v>28</v>
      </c>
      <c r="C17" s="9">
        <f t="shared" si="4"/>
        <v>637.09333333333336</v>
      </c>
      <c r="D17" s="9">
        <f t="shared" si="5"/>
        <v>60.795897435897473</v>
      </c>
      <c r="E17" s="9">
        <f t="shared" ca="1" si="6"/>
        <v>93.50564102564104</v>
      </c>
      <c r="F17" s="9">
        <f t="shared" ca="1" si="0"/>
        <v>48.673333333333403</v>
      </c>
      <c r="G17" s="9">
        <f t="shared" ca="1" si="1"/>
        <v>182.64974358974359</v>
      </c>
      <c r="H17" s="62">
        <f ca="1">IF($U$33="enero",'Base cotización por meses'!C62,IF($U$33="febrero",'Base cotización por meses'!D62,IF($U$33="marzo",'Base cotización por meses'!E62,IF($U$33="abril",'Base cotización por meses'!F62,IF($U$33="mayo",'Base cotización por meses'!G62,IF($U$33="junio",'Base cotización por meses'!H62,IF($U$33="julio",'Base cotización por meses'!I62,IF($U$33="agosto",'Base cotización por meses'!J62,IF($U$33="septiembre",'Base cotización por meses'!K62,IF($U$33="octubre",'Base cotización por meses'!L62,IF($U$33="noviembre",'Base cotización por meses'!M62,IF($U$33="diciembre",'Base cotización por meses'!N62,IF($U$33="media",'Base cotización por meses'!H17)))))))))))))*$U$36</f>
        <v>241.36143589743591</v>
      </c>
      <c r="I17" s="62">
        <f ca="1">IF($U$33="enero",'Base cotización por meses'!C62,IF($U$33="febrero",'Base cotización por meses'!D62,IF($U$33="marzo",'Base cotización por meses'!E62,IF($U$33="abril",'Base cotización por meses'!F62,IF($U$33="mayo",'Base cotización por meses'!G62,IF($U$33="junio",'Base cotización por meses'!H62,IF($U$33="julio",'Base cotización por meses'!I62,IF($U$33="agosto",'Base cotización por meses'!J62,IF($U$33="septiembre",'Base cotización por meses'!K62,IF($U$33="octubre",'Base cotización por meses'!L62,IF($U$33="noviembre",'Base cotización por meses'!M62,IF($U$33="diciembre",'Base cotización por meses'!N62,IF($U$33="media",'Base cotización por meses'!H17)))))))))))))*$U$51</f>
        <v>7.6703846153846165</v>
      </c>
      <c r="J17" s="62">
        <f ca="1">IF($U$33="enero",'Base cotización por meses'!C62,IF($U$33="febrero",'Base cotización por meses'!D62,IF($U$33="marzo",'Base cotización por meses'!E62,IF($U$33="abril",'Base cotización por meses'!F62,IF($U$33="mayo",'Base cotización por meses'!G62,IF($U$33="junio",'Base cotización por meses'!H62,IF($U$33="julio",'Base cotización por meses'!I62,IF($U$33="agosto",'Base cotización por meses'!J62,IF($U$33="septiembre",'Base cotización por meses'!K62,IF($U$33="octubre",'Base cotización por meses'!L62,IF($U$33="noviembre",'Base cotización por meses'!M62,IF($U$33="diciembre",'Base cotización por meses'!N62,IF($U$33="media",'Base cotización por meses'!H17)))))))))))))*$U$39</f>
        <v>36.817846153846155</v>
      </c>
      <c r="K17" s="62">
        <f ca="1">IF($U$33="enero",'Base cotización por meses'!C62,IF($U$33="febrero",'Base cotización por meses'!D62,IF($U$33="marzo",'Base cotización por meses'!E62,IF($U$33="abril",'Base cotización por meses'!F62,IF($U$33="mayo",'Base cotización por meses'!G62,IF($U$33="junio",'Base cotización por meses'!H62,IF($U$33="julio",'Base cotización por meses'!I62,IF($U$33="agosto",'Base cotización por meses'!J62,IF($U$33="septiembre",'Base cotización por meses'!K62,IF($U$33="octubre",'Base cotización por meses'!L62,IF($U$33="noviembre",'Base cotización por meses'!M62,IF($U$33="diciembre",'Base cotización por meses'!N62,IF($U$33="media",'Base cotización por meses'!H17)))))))))))))*$U$42</f>
        <v>56.24948717948719</v>
      </c>
      <c r="L17" s="62">
        <f ca="1">IF($U$33="enero",'Base cotización por meses'!C62,IF($U$33="febrero",'Base cotización por meses'!D62,IF($U$33="marzo",'Base cotización por meses'!E62,IF($U$33="abril",'Base cotización por meses'!F62,IF($U$33="mayo",'Base cotización por meses'!G62,IF($U$33="junio",'Base cotización por meses'!H62,IF($U$33="julio",'Base cotización por meses'!I62,IF($U$33="agosto",'Base cotización por meses'!J62,IF($U$33="septiembre",'Base cotización por meses'!K62,IF($U$33="octubre",'Base cotización por meses'!L62,IF($U$33="noviembre",'Base cotización por meses'!M62,IF($U$33="diciembre",'Base cotización por meses'!N62,IF($U$33="media",'Base cotización por meses'!H17)))))))))))))*$U$45</f>
        <v>6.1363076923076934</v>
      </c>
      <c r="M17" s="62">
        <f ca="1">IF($U$33="enero",'Base cotización por meses'!C62,IF($U$33="febrero",'Base cotización por meses'!D62,IF($U$33="marzo",'Base cotización por meses'!E62,IF($U$33="abril",'Base cotización por meses'!F62,IF($U$33="mayo",'Base cotización por meses'!G62,IF($U$33="junio",'Base cotización por meses'!H62,IF($U$33="julio",'Base cotización por meses'!I62,IF($U$33="agosto",'Base cotización por meses'!J62,IF($U$33="septiembre",'Base cotización por meses'!K62,IF($U$33="octubre",'Base cotización por meses'!L62,IF($U$33="noviembre",'Base cotización por meses'!M62,IF($U$33="diciembre",'Base cotización por meses'!N62,IF($U$33="media",'Base cotización por meses'!H17)))))))))))))*$U$48</f>
        <v>2.0454358974358979</v>
      </c>
      <c r="N17" s="79">
        <f ca="1">IF($U$33="enero",'Base cotización por meses'!C62,IF($U$33="febrero",'Base cotización por meses'!D62,IF($U$33="marzo",'Base cotización por meses'!E62,IF($U$33="abril",'Base cotización por meses'!F62,IF($U$33="mayo",'Base cotización por meses'!G62,IF($U$33="junio",'Base cotización por meses'!H62,IF($U$33="julio",'Base cotización por meses'!I62,IF($U$33="agosto",'Base cotización por meses'!J62,IF($U$33="septiembre",'Base cotización por meses'!K62,IF($U$33="octubre",'Base cotización por meses'!L62,IF($U$33="noviembre",'Base cotización por meses'!M62,IF($U$33="diciembre",'Base cotización por meses'!N62,IF($U$33="media",'Base cotización por meses'!H17)))))))))))))*$U$56</f>
        <v>48.067743589743593</v>
      </c>
      <c r="O17" s="74">
        <f ca="1">IF($U$33="enero",'Base cotización por meses'!C62,IF($U$33="febrero",'Base cotización por meses'!D62,IF($U$33="marzo",'Base cotización por meses'!E62,IF($U$33="abril",'Base cotización por meses'!F62,IF($U$33="mayo",'Base cotización por meses'!G62,IF($U$33="junio",'Base cotización por meses'!H62,IF($U$33="julio",'Base cotización por meses'!I62,IF($U$33="agosto",'Base cotización por meses'!J62,IF($U$33="septiembre",'Base cotización por meses'!K62,IF($U$33="octubre",'Base cotización por meses'!L62,IF($U$33="noviembre",'Base cotización por meses'!M62,IF($U$33="diciembre",'Base cotización por meses'!N62,IF($U$33="media",'Base cotización por meses'!H17)))))))))))))*$U$65</f>
        <v>1.5340769230769233</v>
      </c>
      <c r="P17" s="74">
        <f ca="1">IF($U$33="enero",'Base cotización por meses'!C62,IF($U$33="febrero",'Base cotización por meses'!D62,IF($U$33="marzo",'Base cotización por meses'!E62,IF($U$33="abril",'Base cotización por meses'!F62,IF($U$33="mayo",'Base cotización por meses'!G62,IF($U$33="junio",'Base cotización por meses'!H62,IF($U$33="julio",'Base cotización por meses'!I62,IF($U$33="agosto",'Base cotización por meses'!J62,IF($U$33="septiembre",'Base cotización por meses'!K62,IF($U$33="octubre",'Base cotización por meses'!L62,IF($U$33="noviembre",'Base cotización por meses'!M62,IF($U$33="diciembre",'Base cotización por meses'!N62,IF($U$33="media",'Base cotización por meses'!H17)))))))))))))*$U$59</f>
        <v>1.022717948717949</v>
      </c>
      <c r="Q17" s="74">
        <f ca="1">IF($U$33="enero",'Base cotización por meses'!C62,IF($U$33="febrero",'Base cotización por meses'!D62,IF($U$33="marzo",'Base cotización por meses'!E62,IF($U$33="abril",'Base cotización por meses'!F62,IF($U$33="mayo",'Base cotización por meses'!G62,IF($U$33="junio",'Base cotización por meses'!H62,IF($U$33="julio",'Base cotización por meses'!I62,IF($U$33="agosto",'Base cotización por meses'!J62,IF($U$33="septiembre",'Base cotización por meses'!K62,IF($U$33="octubre",'Base cotización por meses'!L62,IF($U$33="noviembre",'Base cotización por meses'!M62,IF($U$33="diciembre",'Base cotización por meses'!N62,IF($U$33="media",'Base cotización por meses'!H17)))))))))))))*$U$62</f>
        <v>15.852128205128206</v>
      </c>
      <c r="R17" s="82">
        <f t="shared" ca="1" si="2"/>
        <v>1372.9988461538462</v>
      </c>
      <c r="S17" s="86">
        <f t="shared" ca="1" si="3"/>
        <v>956.24128205128216</v>
      </c>
      <c r="T17" s="10"/>
      <c r="U17" s="68" t="s">
        <v>58</v>
      </c>
      <c r="V17" s="67">
        <f ca="1">'Calendario Laboral 2026'!X20</f>
        <v>20</v>
      </c>
    </row>
    <row r="18" spans="2:26">
      <c r="B18" s="3">
        <v>27</v>
      </c>
      <c r="C18" s="9">
        <f t="shared" si="4"/>
        <v>614.34</v>
      </c>
      <c r="D18" s="9">
        <f t="shared" si="5"/>
        <v>58.624615384615424</v>
      </c>
      <c r="E18" s="9">
        <f t="shared" ca="1" si="6"/>
        <v>90.166153846153861</v>
      </c>
      <c r="F18" s="9">
        <f t="shared" ca="1" si="0"/>
        <v>46.935000000000059</v>
      </c>
      <c r="G18" s="9">
        <f t="shared" ca="1" si="1"/>
        <v>176.12653846153847</v>
      </c>
      <c r="H18" s="62">
        <f ca="1">IF($U$33="enero",'Base cotización por meses'!C63,IF($U$33="febrero",'Base cotización por meses'!D63,IF($U$33="marzo",'Base cotización por meses'!E63,IF($U$33="abril",'Base cotización por meses'!F63,IF($U$33="mayo",'Base cotización por meses'!G63,IF($U$33="junio",'Base cotización por meses'!H63,IF($U$33="julio",'Base cotización por meses'!I63,IF($U$33="agosto",'Base cotización por meses'!J63,IF($U$33="septiembre",'Base cotización por meses'!K63,IF($U$33="octubre",'Base cotización por meses'!L63,IF($U$33="noviembre",'Base cotización por meses'!M63,IF($U$33="diciembre",'Base cotización por meses'!N63,IF($U$33="media",'Base cotización por meses'!H18)))))))))))))*$U$36</f>
        <v>232.74138461538465</v>
      </c>
      <c r="I18" s="62">
        <f ca="1">IF($U$33="enero",'Base cotización por meses'!C63,IF($U$33="febrero",'Base cotización por meses'!D63,IF($U$33="marzo",'Base cotización por meses'!E63,IF($U$33="abril",'Base cotización por meses'!F63,IF($U$33="mayo",'Base cotización por meses'!G63,IF($U$33="junio",'Base cotización por meses'!H63,IF($U$33="julio",'Base cotización por meses'!I63,IF($U$33="agosto",'Base cotización por meses'!J63,IF($U$33="septiembre",'Base cotización por meses'!K63,IF($U$33="octubre",'Base cotización por meses'!L63,IF($U$33="noviembre",'Base cotización por meses'!M63,IF($U$33="diciembre",'Base cotización por meses'!N63,IF($U$33="media",'Base cotización por meses'!H18)))))))))))))*$U$51</f>
        <v>7.3964423076923085</v>
      </c>
      <c r="J18" s="62">
        <f ca="1">IF($U$33="enero",'Base cotización por meses'!C63,IF($U$33="febrero",'Base cotización por meses'!D63,IF($U$33="marzo",'Base cotización por meses'!E63,IF($U$33="abril",'Base cotización por meses'!F63,IF($U$33="mayo",'Base cotización por meses'!G63,IF($U$33="junio",'Base cotización por meses'!H63,IF($U$33="julio",'Base cotización por meses'!I63,IF($U$33="agosto",'Base cotización por meses'!J63,IF($U$33="septiembre",'Base cotización por meses'!K63,IF($U$33="octubre",'Base cotización por meses'!L63,IF($U$33="noviembre",'Base cotización por meses'!M63,IF($U$33="diciembre",'Base cotización por meses'!N63,IF($U$33="media",'Base cotización por meses'!H18)))))))))))))*$U$39</f>
        <v>35.502923076923082</v>
      </c>
      <c r="K18" s="62">
        <f ca="1">IF($U$33="enero",'Base cotización por meses'!C63,IF($U$33="febrero",'Base cotización por meses'!D63,IF($U$33="marzo",'Base cotización por meses'!E63,IF($U$33="abril",'Base cotización por meses'!F63,IF($U$33="mayo",'Base cotización por meses'!G63,IF($U$33="junio",'Base cotización por meses'!H63,IF($U$33="julio",'Base cotización por meses'!I63,IF($U$33="agosto",'Base cotización por meses'!J63,IF($U$33="septiembre",'Base cotización por meses'!K63,IF($U$33="octubre",'Base cotización por meses'!L63,IF($U$33="noviembre",'Base cotización por meses'!M63,IF($U$33="diciembre",'Base cotización por meses'!N63,IF($U$33="media",'Base cotización por meses'!H18)))))))))))))*$U$42</f>
        <v>54.240576923076929</v>
      </c>
      <c r="L18" s="62">
        <f ca="1">IF($U$33="enero",'Base cotización por meses'!C63,IF($U$33="febrero",'Base cotización por meses'!D63,IF($U$33="marzo",'Base cotización por meses'!E63,IF($U$33="abril",'Base cotización por meses'!F63,IF($U$33="mayo",'Base cotización por meses'!G63,IF($U$33="junio",'Base cotización por meses'!H63,IF($U$33="julio",'Base cotización por meses'!I63,IF($U$33="agosto",'Base cotización por meses'!J63,IF($U$33="septiembre",'Base cotización por meses'!K63,IF($U$33="octubre",'Base cotización por meses'!L63,IF($U$33="noviembre",'Base cotización por meses'!M63,IF($U$33="diciembre",'Base cotización por meses'!N63,IF($U$33="media",'Base cotización por meses'!H18)))))))))))))*$U$45</f>
        <v>5.9171538461538473</v>
      </c>
      <c r="M18" s="62">
        <f ca="1">IF($U$33="enero",'Base cotización por meses'!C63,IF($U$33="febrero",'Base cotización por meses'!D63,IF($U$33="marzo",'Base cotización por meses'!E63,IF($U$33="abril",'Base cotización por meses'!F63,IF($U$33="mayo",'Base cotización por meses'!G63,IF($U$33="junio",'Base cotización por meses'!H63,IF($U$33="julio",'Base cotización por meses'!I63,IF($U$33="agosto",'Base cotización por meses'!J63,IF($U$33="septiembre",'Base cotización por meses'!K63,IF($U$33="octubre",'Base cotización por meses'!L63,IF($U$33="noviembre",'Base cotización por meses'!M63,IF($U$33="diciembre",'Base cotización por meses'!N63,IF($U$33="media",'Base cotización por meses'!H18)))))))))))))*$U$48</f>
        <v>1.9723846153846158</v>
      </c>
      <c r="N18" s="79">
        <f ca="1">IF($U$33="enero",'Base cotización por meses'!C63,IF($U$33="febrero",'Base cotización por meses'!D63,IF($U$33="marzo",'Base cotización por meses'!E63,IF($U$33="abril",'Base cotización por meses'!F63,IF($U$33="mayo",'Base cotización por meses'!G63,IF($U$33="junio",'Base cotización por meses'!H63,IF($U$33="julio",'Base cotización por meses'!I63,IF($U$33="agosto",'Base cotización por meses'!J63,IF($U$33="septiembre",'Base cotización por meses'!K63,IF($U$33="octubre",'Base cotización por meses'!L63,IF($U$33="noviembre",'Base cotización por meses'!M63,IF($U$33="diciembre",'Base cotización por meses'!N63,IF($U$33="media",'Base cotización por meses'!H18)))))))))))))*$U$56</f>
        <v>46.351038461538472</v>
      </c>
      <c r="O18" s="74">
        <f ca="1">IF($U$33="enero",'Base cotización por meses'!C63,IF($U$33="febrero",'Base cotización por meses'!D63,IF($U$33="marzo",'Base cotización por meses'!E63,IF($U$33="abril",'Base cotización por meses'!F63,IF($U$33="mayo",'Base cotización por meses'!G63,IF($U$33="junio",'Base cotización por meses'!H63,IF($U$33="julio",'Base cotización por meses'!I63,IF($U$33="agosto",'Base cotización por meses'!J63,IF($U$33="septiembre",'Base cotización por meses'!K63,IF($U$33="octubre",'Base cotización por meses'!L63,IF($U$33="noviembre",'Base cotización por meses'!M63,IF($U$33="diciembre",'Base cotización por meses'!N63,IF($U$33="media",'Base cotización por meses'!H18)))))))))))))*$U$65</f>
        <v>1.4792884615384618</v>
      </c>
      <c r="P18" s="74">
        <f ca="1">IF($U$33="enero",'Base cotización por meses'!C63,IF($U$33="febrero",'Base cotización por meses'!D63,IF($U$33="marzo",'Base cotización por meses'!E63,IF($U$33="abril",'Base cotización por meses'!F63,IF($U$33="mayo",'Base cotización por meses'!G63,IF($U$33="junio",'Base cotización por meses'!H63,IF($U$33="julio",'Base cotización por meses'!I63,IF($U$33="agosto",'Base cotización por meses'!J63,IF($U$33="septiembre",'Base cotización por meses'!K63,IF($U$33="octubre",'Base cotización por meses'!L63,IF($U$33="noviembre",'Base cotización por meses'!M63,IF($U$33="diciembre",'Base cotización por meses'!N63,IF($U$33="media",'Base cotización por meses'!H18)))))))))))))*$U$59</f>
        <v>0.98619230769230792</v>
      </c>
      <c r="Q18" s="74">
        <f ca="1">IF($U$33="enero",'Base cotización por meses'!C63,IF($U$33="febrero",'Base cotización por meses'!D63,IF($U$33="marzo",'Base cotización por meses'!E63,IF($U$33="abril",'Base cotización por meses'!F63,IF($U$33="mayo",'Base cotización por meses'!G63,IF($U$33="junio",'Base cotización por meses'!H63,IF($U$33="julio",'Base cotización por meses'!I63,IF($U$33="agosto",'Base cotización por meses'!J63,IF($U$33="septiembre",'Base cotización por meses'!K63,IF($U$33="octubre",'Base cotización por meses'!L63,IF($U$33="noviembre",'Base cotización por meses'!M63,IF($U$33="diciembre",'Base cotización por meses'!N63,IF($U$33="media",'Base cotización por meses'!H18)))))))))))))*$U$62</f>
        <v>15.285980769230772</v>
      </c>
      <c r="R18" s="82">
        <f t="shared" ca="1" si="2"/>
        <v>1323.9631730769236</v>
      </c>
      <c r="S18" s="86">
        <f t="shared" ca="1" si="3"/>
        <v>922.08980769230789</v>
      </c>
      <c r="U18" s="68" t="s">
        <v>59</v>
      </c>
      <c r="V18" s="67">
        <f ca="1">'Calendario Laboral 2026'!H31</f>
        <v>20</v>
      </c>
    </row>
    <row r="19" spans="2:26">
      <c r="B19" s="3">
        <v>26</v>
      </c>
      <c r="C19" s="9">
        <f t="shared" si="4"/>
        <v>591.5866666666667</v>
      </c>
      <c r="D19" s="9">
        <f t="shared" si="5"/>
        <v>56.453333333333369</v>
      </c>
      <c r="E19" s="9">
        <f t="shared" ca="1" si="6"/>
        <v>86.826666666666682</v>
      </c>
      <c r="F19" s="9">
        <f t="shared" ca="1" si="0"/>
        <v>45.196666666666601</v>
      </c>
      <c r="G19" s="9">
        <f t="shared" ca="1" si="1"/>
        <v>169.60333333333335</v>
      </c>
      <c r="H19" s="62">
        <f ca="1">IF($U$33="enero",'Base cotización por meses'!C64,IF($U$33="febrero",'Base cotización por meses'!D64,IF($U$33="marzo",'Base cotización por meses'!E64,IF($U$33="abril",'Base cotización por meses'!F64,IF($U$33="mayo",'Base cotización por meses'!G64,IF($U$33="junio",'Base cotización por meses'!H64,IF($U$33="julio",'Base cotización por meses'!I64,IF($U$33="agosto",'Base cotización por meses'!J64,IF($U$33="septiembre",'Base cotización por meses'!K64,IF($U$33="octubre",'Base cotización por meses'!L64,IF($U$33="noviembre",'Base cotización por meses'!M64,IF($U$33="diciembre",'Base cotización por meses'!N64,IF($U$33="media",'Base cotización por meses'!H19)))))))))))))*$U$36</f>
        <v>224.12133333333333</v>
      </c>
      <c r="I19" s="62">
        <f ca="1">IF($U$33="enero",'Base cotización por meses'!C64,IF($U$33="febrero",'Base cotización por meses'!D64,IF($U$33="marzo",'Base cotización por meses'!E64,IF($U$33="abril",'Base cotización por meses'!F64,IF($U$33="mayo",'Base cotización por meses'!G64,IF($U$33="junio",'Base cotización por meses'!H64,IF($U$33="julio",'Base cotización por meses'!I64,IF($U$33="agosto",'Base cotización por meses'!J64,IF($U$33="septiembre",'Base cotización por meses'!K64,IF($U$33="octubre",'Base cotización por meses'!L64,IF($U$33="noviembre",'Base cotización por meses'!M64,IF($U$33="diciembre",'Base cotización por meses'!N64,IF($U$33="media",'Base cotización por meses'!H19)))))))))))))*$U$51</f>
        <v>7.1225000000000005</v>
      </c>
      <c r="J19" s="62">
        <f ca="1">IF($U$33="enero",'Base cotización por meses'!C64,IF($U$33="febrero",'Base cotización por meses'!D64,IF($U$33="marzo",'Base cotización por meses'!E64,IF($U$33="abril",'Base cotización por meses'!F64,IF($U$33="mayo",'Base cotización por meses'!G64,IF($U$33="junio",'Base cotización por meses'!H64,IF($U$33="julio",'Base cotización por meses'!I64,IF($U$33="agosto",'Base cotización por meses'!J64,IF($U$33="septiembre",'Base cotización por meses'!K64,IF($U$33="octubre",'Base cotización por meses'!L64,IF($U$33="noviembre",'Base cotización por meses'!M64,IF($U$33="diciembre",'Base cotización por meses'!N64,IF($U$33="media",'Base cotización por meses'!H19)))))))))))))*$U$39</f>
        <v>34.188000000000002</v>
      </c>
      <c r="K19" s="62">
        <f ca="1">IF($U$33="enero",'Base cotización por meses'!C64,IF($U$33="febrero",'Base cotización por meses'!D64,IF($U$33="marzo",'Base cotización por meses'!E64,IF($U$33="abril",'Base cotización por meses'!F64,IF($U$33="mayo",'Base cotización por meses'!G64,IF($U$33="junio",'Base cotización por meses'!H64,IF($U$33="julio",'Base cotización por meses'!I64,IF($U$33="agosto",'Base cotización por meses'!J64,IF($U$33="septiembre",'Base cotización por meses'!K64,IF($U$33="octubre",'Base cotización por meses'!L64,IF($U$33="noviembre",'Base cotización por meses'!M64,IF($U$33="diciembre",'Base cotización por meses'!N64,IF($U$33="media",'Base cotización por meses'!H19)))))))))))))*$U$42</f>
        <v>52.231666666666669</v>
      </c>
      <c r="L19" s="62">
        <f ca="1">IF($U$33="enero",'Base cotización por meses'!C64,IF($U$33="febrero",'Base cotización por meses'!D64,IF($U$33="marzo",'Base cotización por meses'!E64,IF($U$33="abril",'Base cotización por meses'!F64,IF($U$33="mayo",'Base cotización por meses'!G64,IF($U$33="junio",'Base cotización por meses'!H64,IF($U$33="julio",'Base cotización por meses'!I64,IF($U$33="agosto",'Base cotización por meses'!J64,IF($U$33="septiembre",'Base cotización por meses'!K64,IF($U$33="octubre",'Base cotización por meses'!L64,IF($U$33="noviembre",'Base cotización por meses'!M64,IF($U$33="diciembre",'Base cotización por meses'!N64,IF($U$33="media",'Base cotización por meses'!H19)))))))))))))*$U$45</f>
        <v>5.6980000000000004</v>
      </c>
      <c r="M19" s="62">
        <f ca="1">IF($U$33="enero",'Base cotización por meses'!C64,IF($U$33="febrero",'Base cotización por meses'!D64,IF($U$33="marzo",'Base cotización por meses'!E64,IF($U$33="abril",'Base cotización por meses'!F64,IF($U$33="mayo",'Base cotización por meses'!G64,IF($U$33="junio",'Base cotización por meses'!H64,IF($U$33="julio",'Base cotización por meses'!I64,IF($U$33="agosto",'Base cotización por meses'!J64,IF($U$33="septiembre",'Base cotización por meses'!K64,IF($U$33="octubre",'Base cotización por meses'!L64,IF($U$33="noviembre",'Base cotización por meses'!M64,IF($U$33="diciembre",'Base cotización por meses'!N64,IF($U$33="media",'Base cotización por meses'!H19)))))))))))))*$U$48</f>
        <v>1.8993333333333335</v>
      </c>
      <c r="N19" s="79">
        <f ca="1">IF($U$33="enero",'Base cotización por meses'!C64,IF($U$33="febrero",'Base cotización por meses'!D64,IF($U$33="marzo",'Base cotización por meses'!E64,IF($U$33="abril",'Base cotización por meses'!F64,IF($U$33="mayo",'Base cotización por meses'!G64,IF($U$33="junio",'Base cotización por meses'!H64,IF($U$33="julio",'Base cotización por meses'!I64,IF($U$33="agosto",'Base cotización por meses'!J64,IF($U$33="septiembre",'Base cotización por meses'!K64,IF($U$33="octubre",'Base cotización por meses'!L64,IF($U$33="noviembre",'Base cotización por meses'!M64,IF($U$33="diciembre",'Base cotización por meses'!N64,IF($U$33="media",'Base cotización por meses'!H19)))))))))))))*$U$56</f>
        <v>44.634333333333338</v>
      </c>
      <c r="O19" s="74">
        <f ca="1">IF($U$33="enero",'Base cotización por meses'!C64,IF($U$33="febrero",'Base cotización por meses'!D64,IF($U$33="marzo",'Base cotización por meses'!E64,IF($U$33="abril",'Base cotización por meses'!F64,IF($U$33="mayo",'Base cotización por meses'!G64,IF($U$33="junio",'Base cotización por meses'!H64,IF($U$33="julio",'Base cotización por meses'!I64,IF($U$33="agosto",'Base cotización por meses'!J64,IF($U$33="septiembre",'Base cotización por meses'!K64,IF($U$33="octubre",'Base cotización por meses'!L64,IF($U$33="noviembre",'Base cotización por meses'!M64,IF($U$33="diciembre",'Base cotización por meses'!N64,IF($U$33="media",'Base cotización por meses'!H19)))))))))))))*$U$65</f>
        <v>1.4245000000000001</v>
      </c>
      <c r="P19" s="74">
        <f ca="1">IF($U$33="enero",'Base cotización por meses'!C64,IF($U$33="febrero",'Base cotización por meses'!D64,IF($U$33="marzo",'Base cotización por meses'!E64,IF($U$33="abril",'Base cotización por meses'!F64,IF($U$33="mayo",'Base cotización por meses'!G64,IF($U$33="junio",'Base cotización por meses'!H64,IF($U$33="julio",'Base cotización por meses'!I64,IF($U$33="agosto",'Base cotización por meses'!J64,IF($U$33="septiembre",'Base cotización por meses'!K64,IF($U$33="octubre",'Base cotización por meses'!L64,IF($U$33="noviembre",'Base cotización por meses'!M64,IF($U$33="diciembre",'Base cotización por meses'!N64,IF($U$33="media",'Base cotización por meses'!H19)))))))))))))*$U$59</f>
        <v>0.94966666666666677</v>
      </c>
      <c r="Q19" s="74">
        <f ca="1">IF($U$33="enero",'Base cotización por meses'!C64,IF($U$33="febrero",'Base cotización por meses'!D64,IF($U$33="marzo",'Base cotización por meses'!E64,IF($U$33="abril",'Base cotización por meses'!F64,IF($U$33="mayo",'Base cotización por meses'!G64,IF($U$33="junio",'Base cotización por meses'!H64,IF($U$33="julio",'Base cotización por meses'!I64,IF($U$33="agosto",'Base cotización por meses'!J64,IF($U$33="septiembre",'Base cotización por meses'!K64,IF($U$33="octubre",'Base cotización por meses'!L64,IF($U$33="noviembre",'Base cotización por meses'!M64,IF($U$33="diciembre",'Base cotización por meses'!N64,IF($U$33="media",'Base cotización por meses'!H19)))))))))))))*$U$62</f>
        <v>14.719833333333334</v>
      </c>
      <c r="R19" s="82">
        <f t="shared" ca="1" si="2"/>
        <v>1274.9275</v>
      </c>
      <c r="S19" s="86">
        <f t="shared" ca="1" si="3"/>
        <v>887.93833333333339</v>
      </c>
      <c r="T19" s="69"/>
      <c r="U19" s="68" t="s">
        <v>60</v>
      </c>
      <c r="V19" s="67">
        <f ca="1">'Calendario Laboral 2026'!P31</f>
        <v>20</v>
      </c>
    </row>
    <row r="20" spans="2:26">
      <c r="B20" s="3">
        <v>25</v>
      </c>
      <c r="C20" s="9">
        <f t="shared" si="4"/>
        <v>568.83333333333337</v>
      </c>
      <c r="D20" s="9">
        <f t="shared" si="5"/>
        <v>54.28205128205132</v>
      </c>
      <c r="E20" s="9">
        <f t="shared" ca="1" si="6"/>
        <v>83.487179487179503</v>
      </c>
      <c r="F20" s="9">
        <f t="shared" ca="1" si="0"/>
        <v>43.458333333333371</v>
      </c>
      <c r="G20" s="9">
        <f t="shared" ca="1" si="1"/>
        <v>163.08012820512823</v>
      </c>
      <c r="H20" s="62">
        <f ca="1">IF($U$33="enero",'Base cotización por meses'!C65,IF($U$33="febrero",'Base cotización por meses'!D65,IF($U$33="marzo",'Base cotización por meses'!E65,IF($U$33="abril",'Base cotización por meses'!F65,IF($U$33="mayo",'Base cotización por meses'!G65,IF($U$33="junio",'Base cotización por meses'!H65,IF($U$33="julio",'Base cotización por meses'!I65,IF($U$33="agosto",'Base cotización por meses'!J65,IF($U$33="septiembre",'Base cotización por meses'!K65,IF($U$33="octubre",'Base cotización por meses'!L65,IF($U$33="noviembre",'Base cotización por meses'!M65,IF($U$33="diciembre",'Base cotización por meses'!N65,IF($U$33="media",'Base cotización por meses'!H20)))))))))))))*$U$36</f>
        <v>215.50128205128209</v>
      </c>
      <c r="I20" s="62">
        <f ca="1">IF($U$33="enero",'Base cotización por meses'!C65,IF($U$33="febrero",'Base cotización por meses'!D65,IF($U$33="marzo",'Base cotización por meses'!E65,IF($U$33="abril",'Base cotización por meses'!F65,IF($U$33="mayo",'Base cotización por meses'!G65,IF($U$33="junio",'Base cotización por meses'!H65,IF($U$33="julio",'Base cotización por meses'!I65,IF($U$33="agosto",'Base cotización por meses'!J65,IF($U$33="septiembre",'Base cotización por meses'!K65,IF($U$33="octubre",'Base cotización por meses'!L65,IF($U$33="noviembre",'Base cotización por meses'!M65,IF($U$33="diciembre",'Base cotización por meses'!N65,IF($U$33="media",'Base cotización por meses'!H20)))))))))))))*$U$51</f>
        <v>6.8485576923076934</v>
      </c>
      <c r="J20" s="62">
        <f ca="1">IF($U$33="enero",'Base cotización por meses'!C65,IF($U$33="febrero",'Base cotización por meses'!D65,IF($U$33="marzo",'Base cotización por meses'!E65,IF($U$33="abril",'Base cotización por meses'!F65,IF($U$33="mayo",'Base cotización por meses'!G65,IF($U$33="junio",'Base cotización por meses'!H65,IF($U$33="julio",'Base cotización por meses'!I65,IF($U$33="agosto",'Base cotización por meses'!J65,IF($U$33="septiembre",'Base cotización por meses'!K65,IF($U$33="octubre",'Base cotización por meses'!L65,IF($U$33="noviembre",'Base cotización por meses'!M65,IF($U$33="diciembre",'Base cotización por meses'!N65,IF($U$33="media",'Base cotización por meses'!H20)))))))))))))*$U$39</f>
        <v>32.87307692307693</v>
      </c>
      <c r="K20" s="62">
        <f ca="1">IF($U$33="enero",'Base cotización por meses'!C65,IF($U$33="febrero",'Base cotización por meses'!D65,IF($U$33="marzo",'Base cotización por meses'!E65,IF($U$33="abril",'Base cotización por meses'!F65,IF($U$33="mayo",'Base cotización por meses'!G65,IF($U$33="junio",'Base cotización por meses'!H65,IF($U$33="julio",'Base cotización por meses'!I65,IF($U$33="agosto",'Base cotización por meses'!J65,IF($U$33="septiembre",'Base cotización por meses'!K65,IF($U$33="octubre",'Base cotización por meses'!L65,IF($U$33="noviembre",'Base cotización por meses'!M65,IF($U$33="diciembre",'Base cotización por meses'!N65,IF($U$33="media",'Base cotización por meses'!H20)))))))))))))*$U$42</f>
        <v>50.222756410256423</v>
      </c>
      <c r="L20" s="62">
        <f ca="1">IF($U$33="enero",'Base cotización por meses'!C65,IF($U$33="febrero",'Base cotización por meses'!D65,IF($U$33="marzo",'Base cotización por meses'!E65,IF($U$33="abril",'Base cotización por meses'!F65,IF($U$33="mayo",'Base cotización por meses'!G65,IF($U$33="junio",'Base cotización por meses'!H65,IF($U$33="julio",'Base cotización por meses'!I65,IF($U$33="agosto",'Base cotización por meses'!J65,IF($U$33="septiembre",'Base cotización por meses'!K65,IF($U$33="octubre",'Base cotización por meses'!L65,IF($U$33="noviembre",'Base cotización por meses'!M65,IF($U$33="diciembre",'Base cotización por meses'!N65,IF($U$33="media",'Base cotización por meses'!H20)))))))))))))*$U$45</f>
        <v>5.4788461538461553</v>
      </c>
      <c r="M20" s="62">
        <f ca="1">IF($U$33="enero",'Base cotización por meses'!C65,IF($U$33="febrero",'Base cotización por meses'!D65,IF($U$33="marzo",'Base cotización por meses'!E65,IF($U$33="abril",'Base cotización por meses'!F65,IF($U$33="mayo",'Base cotización por meses'!G65,IF($U$33="junio",'Base cotización por meses'!H65,IF($U$33="julio",'Base cotización por meses'!I65,IF($U$33="agosto",'Base cotización por meses'!J65,IF($U$33="septiembre",'Base cotización por meses'!K65,IF($U$33="octubre",'Base cotización por meses'!L65,IF($U$33="noviembre",'Base cotización por meses'!M65,IF($U$33="diciembre",'Base cotización por meses'!N65,IF($U$33="media",'Base cotización por meses'!H20)))))))))))))*$U$48</f>
        <v>1.8262820512820517</v>
      </c>
      <c r="N20" s="79">
        <f ca="1">IF($U$33="enero",'Base cotización por meses'!C65,IF($U$33="febrero",'Base cotización por meses'!D65,IF($U$33="marzo",'Base cotización por meses'!E65,IF($U$33="abril",'Base cotización por meses'!F65,IF($U$33="mayo",'Base cotización por meses'!G65,IF($U$33="junio",'Base cotización por meses'!H65,IF($U$33="julio",'Base cotización por meses'!I65,IF($U$33="agosto",'Base cotización por meses'!J65,IF($U$33="septiembre",'Base cotización por meses'!K65,IF($U$33="octubre",'Base cotización por meses'!L65,IF($U$33="noviembre",'Base cotización por meses'!M65,IF($U$33="diciembre",'Base cotización por meses'!N65,IF($U$33="media",'Base cotización por meses'!H20)))))))))))))*$U$56</f>
        <v>42.917628205128217</v>
      </c>
      <c r="O20" s="74">
        <f ca="1">IF($U$33="enero",'Base cotización por meses'!C65,IF($U$33="febrero",'Base cotización por meses'!D65,IF($U$33="marzo",'Base cotización por meses'!E65,IF($U$33="abril",'Base cotización por meses'!F65,IF($U$33="mayo",'Base cotización por meses'!G65,IF($U$33="junio",'Base cotización por meses'!H65,IF($U$33="julio",'Base cotización por meses'!I65,IF($U$33="agosto",'Base cotización por meses'!J65,IF($U$33="septiembre",'Base cotización por meses'!K65,IF($U$33="octubre",'Base cotización por meses'!L65,IF($U$33="noviembre",'Base cotización por meses'!M65,IF($U$33="diciembre",'Base cotización por meses'!N65,IF($U$33="media",'Base cotización por meses'!H20)))))))))))))*$U$65</f>
        <v>1.3697115384615388</v>
      </c>
      <c r="P20" s="74">
        <f ca="1">IF($U$33="enero",'Base cotización por meses'!C65,IF($U$33="febrero",'Base cotización por meses'!D65,IF($U$33="marzo",'Base cotización por meses'!E65,IF($U$33="abril",'Base cotización por meses'!F65,IF($U$33="mayo",'Base cotización por meses'!G65,IF($U$33="junio",'Base cotización por meses'!H65,IF($U$33="julio",'Base cotización por meses'!I65,IF($U$33="agosto",'Base cotización por meses'!J65,IF($U$33="septiembre",'Base cotización por meses'!K65,IF($U$33="octubre",'Base cotización por meses'!L65,IF($U$33="noviembre",'Base cotización por meses'!M65,IF($U$33="diciembre",'Base cotización por meses'!N65,IF($U$33="media",'Base cotización por meses'!H20)))))))))))))*$U$59</f>
        <v>0.91314102564102584</v>
      </c>
      <c r="Q20" s="74">
        <f ca="1">IF($U$33="enero",'Base cotización por meses'!C65,IF($U$33="febrero",'Base cotización por meses'!D65,IF($U$33="marzo",'Base cotización por meses'!E65,IF($U$33="abril",'Base cotización por meses'!F65,IF($U$33="mayo",'Base cotización por meses'!G65,IF($U$33="junio",'Base cotización por meses'!H65,IF($U$33="julio",'Base cotización por meses'!I65,IF($U$33="agosto",'Base cotización por meses'!J65,IF($U$33="septiembre",'Base cotización por meses'!K65,IF($U$33="octubre",'Base cotización por meses'!L65,IF($U$33="noviembre",'Base cotización por meses'!M65,IF($U$33="diciembre",'Base cotización por meses'!N65,IF($U$33="media",'Base cotización por meses'!H20)))))))))))))*$U$62</f>
        <v>14.153685897435901</v>
      </c>
      <c r="R20" s="82">
        <f t="shared" ca="1" si="2"/>
        <v>1225.8918269230771</v>
      </c>
      <c r="S20" s="86">
        <f t="shared" ca="1" si="3"/>
        <v>853.78685897435923</v>
      </c>
      <c r="T20" s="69"/>
      <c r="U20" s="68" t="s">
        <v>61</v>
      </c>
      <c r="V20" s="67">
        <f ca="1">'Calendario Laboral 2026'!X31</f>
        <v>20</v>
      </c>
    </row>
    <row r="21" spans="2:26">
      <c r="B21" s="3">
        <v>24</v>
      </c>
      <c r="C21" s="9">
        <f t="shared" si="4"/>
        <v>546.08000000000004</v>
      </c>
      <c r="D21" s="9">
        <f t="shared" si="5"/>
        <v>52.110769230769264</v>
      </c>
      <c r="E21" s="9">
        <f t="shared" ca="1" si="6"/>
        <v>80.147692307692324</v>
      </c>
      <c r="F21" s="9">
        <f t="shared" ca="1" si="0"/>
        <v>41.720000000000027</v>
      </c>
      <c r="G21" s="9">
        <f t="shared" ca="1" si="1"/>
        <v>156.55692307692311</v>
      </c>
      <c r="H21" s="62">
        <f ca="1">IF($U$33="enero",'Base cotización por meses'!C66,IF($U$33="febrero",'Base cotización por meses'!D66,IF($U$33="marzo",'Base cotización por meses'!E66,IF($U$33="abril",'Base cotización por meses'!F66,IF($U$33="mayo",'Base cotización por meses'!G66,IF($U$33="junio",'Base cotización por meses'!H66,IF($U$33="julio",'Base cotización por meses'!I66,IF($U$33="agosto",'Base cotización por meses'!J66,IF($U$33="septiembre",'Base cotización por meses'!K66,IF($U$33="octubre",'Base cotización por meses'!L66,IF($U$33="noviembre",'Base cotización por meses'!M66,IF($U$33="diciembre",'Base cotización por meses'!N66,IF($U$33="media",'Base cotización por meses'!H21)))))))))))))*$U$36</f>
        <v>206.8812307692308</v>
      </c>
      <c r="I21" s="62">
        <f ca="1">IF($U$33="enero",'Base cotización por meses'!C66,IF($U$33="febrero",'Base cotización por meses'!D66,IF($U$33="marzo",'Base cotización por meses'!E66,IF($U$33="abril",'Base cotización por meses'!F66,IF($U$33="mayo",'Base cotización por meses'!G66,IF($U$33="junio",'Base cotización por meses'!H66,IF($U$33="julio",'Base cotización por meses'!I66,IF($U$33="agosto",'Base cotización por meses'!J66,IF($U$33="septiembre",'Base cotización por meses'!K66,IF($U$33="octubre",'Base cotización por meses'!L66,IF($U$33="noviembre",'Base cotización por meses'!M66,IF($U$33="diciembre",'Base cotización por meses'!N66,IF($U$33="media",'Base cotización por meses'!H21)))))))))))))*$U$51</f>
        <v>6.5746153846153854</v>
      </c>
      <c r="J21" s="62">
        <f ca="1">IF($U$33="enero",'Base cotización por meses'!C66,IF($U$33="febrero",'Base cotización por meses'!D66,IF($U$33="marzo",'Base cotización por meses'!E66,IF($U$33="abril",'Base cotización por meses'!F66,IF($U$33="mayo",'Base cotización por meses'!G66,IF($U$33="junio",'Base cotización por meses'!H66,IF($U$33="julio",'Base cotización por meses'!I66,IF($U$33="agosto",'Base cotización por meses'!J66,IF($U$33="septiembre",'Base cotización por meses'!K66,IF($U$33="octubre",'Base cotización por meses'!L66,IF($U$33="noviembre",'Base cotización por meses'!M66,IF($U$33="diciembre",'Base cotización por meses'!N66,IF($U$33="media",'Base cotización por meses'!H21)))))))))))))*$U$39</f>
        <v>31.55815384615385</v>
      </c>
      <c r="K21" s="62">
        <f ca="1">IF($U$33="enero",'Base cotización por meses'!C66,IF($U$33="febrero",'Base cotización por meses'!D66,IF($U$33="marzo",'Base cotización por meses'!E66,IF($U$33="abril",'Base cotización por meses'!F66,IF($U$33="mayo",'Base cotización por meses'!G66,IF($U$33="junio",'Base cotización por meses'!H66,IF($U$33="julio",'Base cotización por meses'!I66,IF($U$33="agosto",'Base cotización por meses'!J66,IF($U$33="septiembre",'Base cotización por meses'!K66,IF($U$33="octubre",'Base cotización por meses'!L66,IF($U$33="noviembre",'Base cotización por meses'!M66,IF($U$33="diciembre",'Base cotización por meses'!N66,IF($U$33="media",'Base cotización por meses'!H21)))))))))))))*$U$42</f>
        <v>48.213846153846163</v>
      </c>
      <c r="L21" s="62">
        <f ca="1">IF($U$33="enero",'Base cotización por meses'!C66,IF($U$33="febrero",'Base cotización por meses'!D66,IF($U$33="marzo",'Base cotización por meses'!E66,IF($U$33="abril",'Base cotización por meses'!F66,IF($U$33="mayo",'Base cotización por meses'!G66,IF($U$33="junio",'Base cotización por meses'!H66,IF($U$33="julio",'Base cotización por meses'!I66,IF($U$33="agosto",'Base cotización por meses'!J66,IF($U$33="septiembre",'Base cotización por meses'!K66,IF($U$33="octubre",'Base cotización por meses'!L66,IF($U$33="noviembre",'Base cotización por meses'!M66,IF($U$33="diciembre",'Base cotización por meses'!N66,IF($U$33="media",'Base cotización por meses'!H21)))))))))))))*$U$45</f>
        <v>5.2596923076923083</v>
      </c>
      <c r="M21" s="62">
        <f ca="1">IF($U$33="enero",'Base cotización por meses'!C66,IF($U$33="febrero",'Base cotización por meses'!D66,IF($U$33="marzo",'Base cotización por meses'!E66,IF($U$33="abril",'Base cotización por meses'!F66,IF($U$33="mayo",'Base cotización por meses'!G66,IF($U$33="junio",'Base cotización por meses'!H66,IF($U$33="julio",'Base cotización por meses'!I66,IF($U$33="agosto",'Base cotización por meses'!J66,IF($U$33="septiembre",'Base cotización por meses'!K66,IF($U$33="octubre",'Base cotización por meses'!L66,IF($U$33="noviembre",'Base cotización por meses'!M66,IF($U$33="diciembre",'Base cotización por meses'!N66,IF($U$33="media",'Base cotización por meses'!H21)))))))))))))*$U$48</f>
        <v>1.7532307692307696</v>
      </c>
      <c r="N21" s="79">
        <f ca="1">IF($U$33="enero",'Base cotización por meses'!C66,IF($U$33="febrero",'Base cotización por meses'!D66,IF($U$33="marzo",'Base cotización por meses'!E66,IF($U$33="abril",'Base cotización por meses'!F66,IF($U$33="mayo",'Base cotización por meses'!G66,IF($U$33="junio",'Base cotización por meses'!H66,IF($U$33="julio",'Base cotización por meses'!I66,IF($U$33="agosto",'Base cotización por meses'!J66,IF($U$33="septiembre",'Base cotización por meses'!K66,IF($U$33="octubre",'Base cotización por meses'!L66,IF($U$33="noviembre",'Base cotización por meses'!M66,IF($U$33="diciembre",'Base cotización por meses'!N66,IF($U$33="media",'Base cotización por meses'!H21)))))))))))))*$U$56</f>
        <v>41.200923076923083</v>
      </c>
      <c r="O21" s="74">
        <f ca="1">IF($U$33="enero",'Base cotización por meses'!C66,IF($U$33="febrero",'Base cotización por meses'!D66,IF($U$33="marzo",'Base cotización por meses'!E66,IF($U$33="abril",'Base cotización por meses'!F66,IF($U$33="mayo",'Base cotización por meses'!G66,IF($U$33="junio",'Base cotización por meses'!H66,IF($U$33="julio",'Base cotización por meses'!I66,IF($U$33="agosto",'Base cotización por meses'!J66,IF($U$33="septiembre",'Base cotización por meses'!K66,IF($U$33="octubre",'Base cotización por meses'!L66,IF($U$33="noviembre",'Base cotización por meses'!M66,IF($U$33="diciembre",'Base cotización por meses'!N66,IF($U$33="media",'Base cotización por meses'!H21)))))))))))))*$U$65</f>
        <v>1.3149230769230771</v>
      </c>
      <c r="P21" s="74">
        <f ca="1">IF($U$33="enero",'Base cotización por meses'!C66,IF($U$33="febrero",'Base cotización por meses'!D66,IF($U$33="marzo",'Base cotización por meses'!E66,IF($U$33="abril",'Base cotización por meses'!F66,IF($U$33="mayo",'Base cotización por meses'!G66,IF($U$33="junio",'Base cotización por meses'!H66,IF($U$33="julio",'Base cotización por meses'!I66,IF($U$33="agosto",'Base cotización por meses'!J66,IF($U$33="septiembre",'Base cotización por meses'!K66,IF($U$33="octubre",'Base cotización por meses'!L66,IF($U$33="noviembre",'Base cotización por meses'!M66,IF($U$33="diciembre",'Base cotización por meses'!N66,IF($U$33="media",'Base cotización por meses'!H21)))))))))))))*$U$59</f>
        <v>0.8766153846153848</v>
      </c>
      <c r="Q21" s="74">
        <f ca="1">IF($U$33="enero",'Base cotización por meses'!C66,IF($U$33="febrero",'Base cotización por meses'!D66,IF($U$33="marzo",'Base cotización por meses'!E66,IF($U$33="abril",'Base cotización por meses'!F66,IF($U$33="mayo",'Base cotización por meses'!G66,IF($U$33="junio",'Base cotización por meses'!H66,IF($U$33="julio",'Base cotización por meses'!I66,IF($U$33="agosto",'Base cotización por meses'!J66,IF($U$33="septiembre",'Base cotización por meses'!K66,IF($U$33="octubre",'Base cotización por meses'!L66,IF($U$33="noviembre",'Base cotización por meses'!M66,IF($U$33="diciembre",'Base cotización por meses'!N66,IF($U$33="media",'Base cotización por meses'!H21)))))))))))))*$U$62</f>
        <v>13.587538461538463</v>
      </c>
      <c r="R21" s="82">
        <f t="shared" ca="1" si="2"/>
        <v>1176.856153846154</v>
      </c>
      <c r="S21" s="86">
        <f t="shared" ca="1" si="3"/>
        <v>819.63538461538474</v>
      </c>
      <c r="T21" s="69"/>
      <c r="U21" s="68" t="s">
        <v>62</v>
      </c>
      <c r="V21" s="67">
        <f ca="1">'Calendario Laboral 2026'!H43</f>
        <v>23</v>
      </c>
      <c r="Z21" s="70"/>
    </row>
    <row r="22" spans="2:26">
      <c r="B22" s="3">
        <v>23</v>
      </c>
      <c r="C22" s="9">
        <f t="shared" si="4"/>
        <v>523.32666666666671</v>
      </c>
      <c r="D22" s="9">
        <f t="shared" si="5"/>
        <v>49.939487179487216</v>
      </c>
      <c r="E22" s="9">
        <f t="shared" ca="1" si="6"/>
        <v>76.808205128205145</v>
      </c>
      <c r="F22" s="9">
        <f t="shared" ca="1" si="0"/>
        <v>39.981666666666683</v>
      </c>
      <c r="G22" s="9">
        <f t="shared" ca="1" si="1"/>
        <v>150.03371794871796</v>
      </c>
      <c r="H22" s="62">
        <f ca="1">IF($U$33="enero",'Base cotización por meses'!C67,IF($U$33="febrero",'Base cotización por meses'!D67,IF($U$33="marzo",'Base cotización por meses'!E67,IF($U$33="abril",'Base cotización por meses'!F67,IF($U$33="mayo",'Base cotización por meses'!G67,IF($U$33="junio",'Base cotización por meses'!H67,IF($U$33="julio",'Base cotización por meses'!I67,IF($U$33="agosto",'Base cotización por meses'!J67,IF($U$33="septiembre",'Base cotización por meses'!K67,IF($U$33="octubre",'Base cotización por meses'!L67,IF($U$33="noviembre",'Base cotización por meses'!M67,IF($U$33="diciembre",'Base cotización por meses'!N67,IF($U$33="media",'Base cotización por meses'!H22)))))))))))))*$U$36</f>
        <v>198.2611794871795</v>
      </c>
      <c r="I22" s="62">
        <f ca="1">IF($U$33="enero",'Base cotización por meses'!C67,IF($U$33="febrero",'Base cotización por meses'!D67,IF($U$33="marzo",'Base cotización por meses'!E67,IF($U$33="abril",'Base cotización por meses'!F67,IF($U$33="mayo",'Base cotización por meses'!G67,IF($U$33="junio",'Base cotización por meses'!H67,IF($U$33="julio",'Base cotización por meses'!I67,IF($U$33="agosto",'Base cotización por meses'!J67,IF($U$33="septiembre",'Base cotización por meses'!K67,IF($U$33="octubre",'Base cotización por meses'!L67,IF($U$33="noviembre",'Base cotización por meses'!M67,IF($U$33="diciembre",'Base cotización por meses'!N67,IF($U$33="media",'Base cotización por meses'!H22)))))))))))))*$U$51</f>
        <v>6.3006730769230774</v>
      </c>
      <c r="J22" s="62">
        <f ca="1">IF($U$33="enero",'Base cotización por meses'!C67,IF($U$33="febrero",'Base cotización por meses'!D67,IF($U$33="marzo",'Base cotización por meses'!E67,IF($U$33="abril",'Base cotización por meses'!F67,IF($U$33="mayo",'Base cotización por meses'!G67,IF($U$33="junio",'Base cotización por meses'!H67,IF($U$33="julio",'Base cotización por meses'!I67,IF($U$33="agosto",'Base cotización por meses'!J67,IF($U$33="septiembre",'Base cotización por meses'!K67,IF($U$33="octubre",'Base cotización por meses'!L67,IF($U$33="noviembre",'Base cotización por meses'!M67,IF($U$33="diciembre",'Base cotización por meses'!N67,IF($U$33="media",'Base cotización por meses'!H22)))))))))))))*$U$39</f>
        <v>30.24323076923077</v>
      </c>
      <c r="K22" s="62">
        <f ca="1">IF($U$33="enero",'Base cotización por meses'!C67,IF($U$33="febrero",'Base cotización por meses'!D67,IF($U$33="marzo",'Base cotización por meses'!E67,IF($U$33="abril",'Base cotización por meses'!F67,IF($U$33="mayo",'Base cotización por meses'!G67,IF($U$33="junio",'Base cotización por meses'!H67,IF($U$33="julio",'Base cotización por meses'!I67,IF($U$33="agosto",'Base cotización por meses'!J67,IF($U$33="septiembre",'Base cotización por meses'!K67,IF($U$33="octubre",'Base cotización por meses'!L67,IF($U$33="noviembre",'Base cotización por meses'!M67,IF($U$33="diciembre",'Base cotización por meses'!N67,IF($U$33="media",'Base cotización por meses'!H22)))))))))))))*$U$42</f>
        <v>46.204935897435902</v>
      </c>
      <c r="L22" s="62">
        <f ca="1">IF($U$33="enero",'Base cotización por meses'!C67,IF($U$33="febrero",'Base cotización por meses'!D67,IF($U$33="marzo",'Base cotización por meses'!E67,IF($U$33="abril",'Base cotización por meses'!F67,IF($U$33="mayo",'Base cotización por meses'!G67,IF($U$33="junio",'Base cotización por meses'!H67,IF($U$33="julio",'Base cotización por meses'!I67,IF($U$33="agosto",'Base cotización por meses'!J67,IF($U$33="septiembre",'Base cotización por meses'!K67,IF($U$33="octubre",'Base cotización por meses'!L67,IF($U$33="noviembre",'Base cotización por meses'!M67,IF($U$33="diciembre",'Base cotización por meses'!N67,IF($U$33="media",'Base cotización por meses'!H22)))))))))))))*$U$45</f>
        <v>5.0405384615384623</v>
      </c>
      <c r="M22" s="62">
        <f ca="1">IF($U$33="enero",'Base cotización por meses'!C67,IF($U$33="febrero",'Base cotización por meses'!D67,IF($U$33="marzo",'Base cotización por meses'!E67,IF($U$33="abril",'Base cotización por meses'!F67,IF($U$33="mayo",'Base cotización por meses'!G67,IF($U$33="junio",'Base cotización por meses'!H67,IF($U$33="julio",'Base cotización por meses'!I67,IF($U$33="agosto",'Base cotización por meses'!J67,IF($U$33="septiembre",'Base cotización por meses'!K67,IF($U$33="octubre",'Base cotización por meses'!L67,IF($U$33="noviembre",'Base cotización por meses'!M67,IF($U$33="diciembre",'Base cotización por meses'!N67,IF($U$33="media",'Base cotización por meses'!H22)))))))))))))*$U$48</f>
        <v>1.6801794871794873</v>
      </c>
      <c r="N22" s="79">
        <f ca="1">IF($U$33="enero",'Base cotización por meses'!C67,IF($U$33="febrero",'Base cotización por meses'!D67,IF($U$33="marzo",'Base cotización por meses'!E67,IF($U$33="abril",'Base cotización por meses'!F67,IF($U$33="mayo",'Base cotización por meses'!G67,IF($U$33="junio",'Base cotización por meses'!H67,IF($U$33="julio",'Base cotización por meses'!I67,IF($U$33="agosto",'Base cotización por meses'!J67,IF($U$33="septiembre",'Base cotización por meses'!K67,IF($U$33="octubre",'Base cotización por meses'!L67,IF($U$33="noviembre",'Base cotización por meses'!M67,IF($U$33="diciembre",'Base cotización por meses'!N67,IF($U$33="media",'Base cotización por meses'!H22)))))))))))))*$U$56</f>
        <v>39.484217948717955</v>
      </c>
      <c r="O22" s="74">
        <f ca="1">IF($U$33="enero",'Base cotización por meses'!C67,IF($U$33="febrero",'Base cotización por meses'!D67,IF($U$33="marzo",'Base cotización por meses'!E67,IF($U$33="abril",'Base cotización por meses'!F67,IF($U$33="mayo",'Base cotización por meses'!G67,IF($U$33="junio",'Base cotización por meses'!H67,IF($U$33="julio",'Base cotización por meses'!I67,IF($U$33="agosto",'Base cotización por meses'!J67,IF($U$33="septiembre",'Base cotización por meses'!K67,IF($U$33="octubre",'Base cotización por meses'!L67,IF($U$33="noviembre",'Base cotización por meses'!M67,IF($U$33="diciembre",'Base cotización por meses'!N67,IF($U$33="media",'Base cotización por meses'!H22)))))))))))))*$U$65</f>
        <v>1.2601346153846156</v>
      </c>
      <c r="P22" s="74">
        <f ca="1">IF($U$33="enero",'Base cotización por meses'!C67,IF($U$33="febrero",'Base cotización por meses'!D67,IF($U$33="marzo",'Base cotización por meses'!E67,IF($U$33="abril",'Base cotización por meses'!F67,IF($U$33="mayo",'Base cotización por meses'!G67,IF($U$33="junio",'Base cotización por meses'!H67,IF($U$33="julio",'Base cotización por meses'!I67,IF($U$33="agosto",'Base cotización por meses'!J67,IF($U$33="septiembre",'Base cotización por meses'!K67,IF($U$33="octubre",'Base cotización por meses'!L67,IF($U$33="noviembre",'Base cotización por meses'!M67,IF($U$33="diciembre",'Base cotización por meses'!N67,IF($U$33="media",'Base cotización por meses'!H22)))))))))))))*$U$59</f>
        <v>0.84008974358974364</v>
      </c>
      <c r="Q22" s="74">
        <f ca="1">IF($U$33="enero",'Base cotización por meses'!C67,IF($U$33="febrero",'Base cotización por meses'!D67,IF($U$33="marzo",'Base cotización por meses'!E67,IF($U$33="abril",'Base cotización por meses'!F67,IF($U$33="mayo",'Base cotización por meses'!G67,IF($U$33="junio",'Base cotización por meses'!H67,IF($U$33="julio",'Base cotización por meses'!I67,IF($U$33="agosto",'Base cotización por meses'!J67,IF($U$33="septiembre",'Base cotización por meses'!K67,IF($U$33="octubre",'Base cotización por meses'!L67,IF($U$33="noviembre",'Base cotización por meses'!M67,IF($U$33="diciembre",'Base cotización por meses'!N67,IF($U$33="media",'Base cotización por meses'!H22)))))))))))))*$U$62</f>
        <v>13.021391025641027</v>
      </c>
      <c r="R22" s="82">
        <f t="shared" ca="1" si="2"/>
        <v>1127.8204807692309</v>
      </c>
      <c r="S22" s="86">
        <f t="shared" ca="1" si="3"/>
        <v>785.48391025641035</v>
      </c>
      <c r="T22" s="10"/>
      <c r="U22" s="68" t="s">
        <v>63</v>
      </c>
      <c r="V22" s="67">
        <f ca="1">'Calendario Laboral 2026'!P43</f>
        <v>21</v>
      </c>
      <c r="X22" s="10"/>
      <c r="Z22" s="10"/>
    </row>
    <row r="23" spans="2:26">
      <c r="B23" s="3">
        <v>22</v>
      </c>
      <c r="C23" s="9">
        <f t="shared" si="4"/>
        <v>500.57333333333338</v>
      </c>
      <c r="D23" s="9">
        <f t="shared" si="5"/>
        <v>47.768205128205167</v>
      </c>
      <c r="E23" s="9">
        <f t="shared" ca="1" si="6"/>
        <v>73.468717948717966</v>
      </c>
      <c r="F23" s="9">
        <f t="shared" ca="1" si="0"/>
        <v>38.243333333333226</v>
      </c>
      <c r="G23" s="9">
        <f t="shared" ca="1" si="1"/>
        <v>143.51051282051287</v>
      </c>
      <c r="H23" s="62">
        <f ca="1">IF($U$33="enero",'Base cotización por meses'!C68,IF($U$33="febrero",'Base cotización por meses'!D68,IF($U$33="marzo",'Base cotización por meses'!E68,IF($U$33="abril",'Base cotización por meses'!F68,IF($U$33="mayo",'Base cotización por meses'!G68,IF($U$33="junio",'Base cotización por meses'!H68,IF($U$33="julio",'Base cotización por meses'!I68,IF($U$33="agosto",'Base cotización por meses'!J68,IF($U$33="septiembre",'Base cotización por meses'!K68,IF($U$33="octubre",'Base cotización por meses'!L68,IF($U$33="noviembre",'Base cotización por meses'!M68,IF($U$33="diciembre",'Base cotización por meses'!N68,IF($U$33="media",'Base cotización por meses'!H23)))))))))))))*$U$36</f>
        <v>189.64112820512821</v>
      </c>
      <c r="I23" s="62">
        <f ca="1">IF($U$33="enero",'Base cotización por meses'!C68,IF($U$33="febrero",'Base cotización por meses'!D68,IF($U$33="marzo",'Base cotización por meses'!E68,IF($U$33="abril",'Base cotización por meses'!F68,IF($U$33="mayo",'Base cotización por meses'!G68,IF($U$33="junio",'Base cotización por meses'!H68,IF($U$33="julio",'Base cotización por meses'!I68,IF($U$33="agosto",'Base cotización por meses'!J68,IF($U$33="septiembre",'Base cotización por meses'!K68,IF($U$33="octubre",'Base cotización por meses'!L68,IF($U$33="noviembre",'Base cotización por meses'!M68,IF($U$33="diciembre",'Base cotización por meses'!N68,IF($U$33="media",'Base cotización por meses'!H23)))))))))))))*$U$51</f>
        <v>6.0267307692307694</v>
      </c>
      <c r="J23" s="62">
        <f ca="1">IF($U$33="enero",'Base cotización por meses'!C68,IF($U$33="febrero",'Base cotización por meses'!D68,IF($U$33="marzo",'Base cotización por meses'!E68,IF($U$33="abril",'Base cotización por meses'!F68,IF($U$33="mayo",'Base cotización por meses'!G68,IF($U$33="junio",'Base cotización por meses'!H68,IF($U$33="julio",'Base cotización por meses'!I68,IF($U$33="agosto",'Base cotización por meses'!J68,IF($U$33="septiembre",'Base cotización por meses'!K68,IF($U$33="octubre",'Base cotización por meses'!L68,IF($U$33="noviembre",'Base cotización por meses'!M68,IF($U$33="diciembre",'Base cotización por meses'!N68,IF($U$33="media",'Base cotización por meses'!H23)))))))))))))*$U$39</f>
        <v>28.928307692307694</v>
      </c>
      <c r="K23" s="62">
        <f ca="1">IF($U$33="enero",'Base cotización por meses'!C68,IF($U$33="febrero",'Base cotización por meses'!D68,IF($U$33="marzo",'Base cotización por meses'!E68,IF($U$33="abril",'Base cotización por meses'!F68,IF($U$33="mayo",'Base cotización por meses'!G68,IF($U$33="junio",'Base cotización por meses'!H68,IF($U$33="julio",'Base cotización por meses'!I68,IF($U$33="agosto",'Base cotización por meses'!J68,IF($U$33="septiembre",'Base cotización por meses'!K68,IF($U$33="octubre",'Base cotización por meses'!L68,IF($U$33="noviembre",'Base cotización por meses'!M68,IF($U$33="diciembre",'Base cotización por meses'!N68,IF($U$33="media",'Base cotización por meses'!H23)))))))))))))*$U$42</f>
        <v>44.196025641025649</v>
      </c>
      <c r="L23" s="62">
        <f ca="1">IF($U$33="enero",'Base cotización por meses'!C68,IF($U$33="febrero",'Base cotización por meses'!D68,IF($U$33="marzo",'Base cotización por meses'!E68,IF($U$33="abril",'Base cotización por meses'!F68,IF($U$33="mayo",'Base cotización por meses'!G68,IF($U$33="junio",'Base cotización por meses'!H68,IF($U$33="julio",'Base cotización por meses'!I68,IF($U$33="agosto",'Base cotización por meses'!J68,IF($U$33="septiembre",'Base cotización por meses'!K68,IF($U$33="octubre",'Base cotización por meses'!L68,IF($U$33="noviembre",'Base cotización por meses'!M68,IF($U$33="diciembre",'Base cotización por meses'!N68,IF($U$33="media",'Base cotización por meses'!H23)))))))))))))*$U$45</f>
        <v>4.8213846153846163</v>
      </c>
      <c r="M23" s="62">
        <f ca="1">IF($U$33="enero",'Base cotización por meses'!C68,IF($U$33="febrero",'Base cotización por meses'!D68,IF($U$33="marzo",'Base cotización por meses'!E68,IF($U$33="abril",'Base cotización por meses'!F68,IF($U$33="mayo",'Base cotización por meses'!G68,IF($U$33="junio",'Base cotización por meses'!H68,IF($U$33="julio",'Base cotización por meses'!I68,IF($U$33="agosto",'Base cotización por meses'!J68,IF($U$33="septiembre",'Base cotización por meses'!K68,IF($U$33="octubre",'Base cotización por meses'!L68,IF($U$33="noviembre",'Base cotización por meses'!M68,IF($U$33="diciembre",'Base cotización por meses'!N68,IF($U$33="media",'Base cotización por meses'!H23)))))))))))))*$U$48</f>
        <v>1.6071282051282054</v>
      </c>
      <c r="N23" s="79">
        <f ca="1">IF($U$33="enero",'Base cotización por meses'!C68,IF($U$33="febrero",'Base cotización por meses'!D68,IF($U$33="marzo",'Base cotización por meses'!E68,IF($U$33="abril",'Base cotización por meses'!F68,IF($U$33="mayo",'Base cotización por meses'!G68,IF($U$33="junio",'Base cotización por meses'!H68,IF($U$33="julio",'Base cotización por meses'!I68,IF($U$33="agosto",'Base cotización por meses'!J68,IF($U$33="septiembre",'Base cotización por meses'!K68,IF($U$33="octubre",'Base cotización por meses'!L68,IF($U$33="noviembre",'Base cotización por meses'!M68,IF($U$33="diciembre",'Base cotización por meses'!N68,IF($U$33="media",'Base cotización por meses'!H23)))))))))))))*$U$56</f>
        <v>37.767512820512827</v>
      </c>
      <c r="O23" s="74">
        <f ca="1">IF($U$33="enero",'Base cotización por meses'!C68,IF($U$33="febrero",'Base cotización por meses'!D68,IF($U$33="marzo",'Base cotización por meses'!E68,IF($U$33="abril",'Base cotización por meses'!F68,IF($U$33="mayo",'Base cotización por meses'!G68,IF($U$33="junio",'Base cotización por meses'!H68,IF($U$33="julio",'Base cotización por meses'!I68,IF($U$33="agosto",'Base cotización por meses'!J68,IF($U$33="septiembre",'Base cotización por meses'!K68,IF($U$33="octubre",'Base cotización por meses'!L68,IF($U$33="noviembre",'Base cotización por meses'!M68,IF($U$33="diciembre",'Base cotización por meses'!N68,IF($U$33="media",'Base cotización por meses'!H23)))))))))))))*$U$65</f>
        <v>1.2053461538461541</v>
      </c>
      <c r="P23" s="74">
        <f ca="1">IF($U$33="enero",'Base cotización por meses'!C68,IF($U$33="febrero",'Base cotización por meses'!D68,IF($U$33="marzo",'Base cotización por meses'!E68,IF($U$33="abril",'Base cotización por meses'!F68,IF($U$33="mayo",'Base cotización por meses'!G68,IF($U$33="junio",'Base cotización por meses'!H68,IF($U$33="julio",'Base cotización por meses'!I68,IF($U$33="agosto",'Base cotización por meses'!J68,IF($U$33="septiembre",'Base cotización por meses'!K68,IF($U$33="octubre",'Base cotización por meses'!L68,IF($U$33="noviembre",'Base cotización por meses'!M68,IF($U$33="diciembre",'Base cotización por meses'!N68,IF($U$33="media",'Base cotización por meses'!H23)))))))))))))*$U$59</f>
        <v>0.80356410256410271</v>
      </c>
      <c r="Q23" s="74">
        <f ca="1">IF($U$33="enero",'Base cotización por meses'!C68,IF($U$33="febrero",'Base cotización por meses'!D68,IF($U$33="marzo",'Base cotización por meses'!E68,IF($U$33="abril",'Base cotización por meses'!F68,IF($U$33="mayo",'Base cotización por meses'!G68,IF($U$33="junio",'Base cotización por meses'!H68,IF($U$33="julio",'Base cotización por meses'!I68,IF($U$33="agosto",'Base cotización por meses'!J68,IF($U$33="septiembre",'Base cotización por meses'!K68,IF($U$33="octubre",'Base cotización por meses'!L68,IF($U$33="noviembre",'Base cotización por meses'!M68,IF($U$33="diciembre",'Base cotización por meses'!N68,IF($U$33="media",'Base cotización por meses'!H23)))))))))))))*$U$62</f>
        <v>12.45524358974359</v>
      </c>
      <c r="R23" s="82">
        <f t="shared" ca="1" si="2"/>
        <v>1078.7848076923078</v>
      </c>
      <c r="S23" s="86">
        <f t="shared" ca="1" si="3"/>
        <v>751.33243589743597</v>
      </c>
      <c r="T23" s="10"/>
      <c r="U23" s="68" t="s">
        <v>64</v>
      </c>
      <c r="V23" s="67">
        <f ca="1">'Calendario Laboral 2026'!X43</f>
        <v>22</v>
      </c>
      <c r="W23" s="10"/>
      <c r="X23" s="10"/>
      <c r="Y23" s="10"/>
    </row>
    <row r="24" spans="2:26">
      <c r="B24" s="3">
        <v>21</v>
      </c>
      <c r="C24" s="9">
        <f t="shared" si="4"/>
        <v>477.82000000000005</v>
      </c>
      <c r="D24" s="9">
        <f t="shared" si="5"/>
        <v>45.596923076923119</v>
      </c>
      <c r="E24" s="9">
        <f t="shared" ca="1" si="6"/>
        <v>70.129230769230787</v>
      </c>
      <c r="F24" s="9">
        <f t="shared" ca="1" si="0"/>
        <v>36.505000000000109</v>
      </c>
      <c r="G24" s="9">
        <f t="shared" ca="1" si="1"/>
        <v>136.9873076923077</v>
      </c>
      <c r="H24" s="62">
        <f ca="1">IF($U$33="enero",'Base cotización por meses'!C69,IF($U$33="febrero",'Base cotización por meses'!D69,IF($U$33="marzo",'Base cotización por meses'!E69,IF($U$33="abril",'Base cotización por meses'!F69,IF($U$33="mayo",'Base cotización por meses'!G69,IF($U$33="junio",'Base cotización por meses'!H69,IF($U$33="julio",'Base cotización por meses'!I69,IF($U$33="agosto",'Base cotización por meses'!J69,IF($U$33="septiembre",'Base cotización por meses'!K69,IF($U$33="octubre",'Base cotización por meses'!L69,IF($U$33="noviembre",'Base cotización por meses'!M69,IF($U$33="diciembre",'Base cotización por meses'!N69,IF($U$33="media",'Base cotización por meses'!H24)))))))))))))*$U$36</f>
        <v>181.02107692307695</v>
      </c>
      <c r="I24" s="62">
        <f ca="1">IF($U$33="enero",'Base cotización por meses'!C69,IF($U$33="febrero",'Base cotización por meses'!D69,IF($U$33="marzo",'Base cotización por meses'!E69,IF($U$33="abril",'Base cotización por meses'!F69,IF($U$33="mayo",'Base cotización por meses'!G69,IF($U$33="junio",'Base cotización por meses'!H69,IF($U$33="julio",'Base cotización por meses'!I69,IF($U$33="agosto",'Base cotización por meses'!J69,IF($U$33="septiembre",'Base cotización por meses'!K69,IF($U$33="octubre",'Base cotización por meses'!L69,IF($U$33="noviembre",'Base cotización por meses'!M69,IF($U$33="diciembre",'Base cotización por meses'!N69,IF($U$33="media",'Base cotización por meses'!H24)))))))))))))*$U$51</f>
        <v>5.7527884615384624</v>
      </c>
      <c r="J24" s="62">
        <f ca="1">IF($U$33="enero",'Base cotización por meses'!C69,IF($U$33="febrero",'Base cotización por meses'!D69,IF($U$33="marzo",'Base cotización por meses'!E69,IF($U$33="abril",'Base cotización por meses'!F69,IF($U$33="mayo",'Base cotización por meses'!G69,IF($U$33="junio",'Base cotización por meses'!H69,IF($U$33="julio",'Base cotización por meses'!I69,IF($U$33="agosto",'Base cotización por meses'!J69,IF($U$33="septiembre",'Base cotización por meses'!K69,IF($U$33="octubre",'Base cotización por meses'!L69,IF($U$33="noviembre",'Base cotización por meses'!M69,IF($U$33="diciembre",'Base cotización por meses'!N69,IF($U$33="media",'Base cotización por meses'!H24)))))))))))))*$U$39</f>
        <v>27.613384615384618</v>
      </c>
      <c r="K24" s="62">
        <f ca="1">IF($U$33="enero",'Base cotización por meses'!C69,IF($U$33="febrero",'Base cotización por meses'!D69,IF($U$33="marzo",'Base cotización por meses'!E69,IF($U$33="abril",'Base cotización por meses'!F69,IF($U$33="mayo",'Base cotización por meses'!G69,IF($U$33="junio",'Base cotización por meses'!H69,IF($U$33="julio",'Base cotización por meses'!I69,IF($U$33="agosto",'Base cotización por meses'!J69,IF($U$33="septiembre",'Base cotización por meses'!K69,IF($U$33="octubre",'Base cotización por meses'!L69,IF($U$33="noviembre",'Base cotización por meses'!M69,IF($U$33="diciembre",'Base cotización por meses'!N69,IF($U$33="media",'Base cotización por meses'!H24)))))))))))))*$U$42</f>
        <v>42.187115384615389</v>
      </c>
      <c r="L24" s="62">
        <f ca="1">IF($U$33="enero",'Base cotización por meses'!C69,IF($U$33="febrero",'Base cotización por meses'!D69,IF($U$33="marzo",'Base cotización por meses'!E69,IF($U$33="abril",'Base cotización por meses'!F69,IF($U$33="mayo",'Base cotización por meses'!G69,IF($U$33="junio",'Base cotización por meses'!H69,IF($U$33="julio",'Base cotización por meses'!I69,IF($U$33="agosto",'Base cotización por meses'!J69,IF($U$33="septiembre",'Base cotización por meses'!K69,IF($U$33="octubre",'Base cotización por meses'!L69,IF($U$33="noviembre",'Base cotización por meses'!M69,IF($U$33="diciembre",'Base cotización por meses'!N69,IF($U$33="media",'Base cotización por meses'!H24)))))))))))))*$U$45</f>
        <v>4.6022307692307702</v>
      </c>
      <c r="M24" s="62">
        <f ca="1">IF($U$33="enero",'Base cotización por meses'!C69,IF($U$33="febrero",'Base cotización por meses'!D69,IF($U$33="marzo",'Base cotización por meses'!E69,IF($U$33="abril",'Base cotización por meses'!F69,IF($U$33="mayo",'Base cotización por meses'!G69,IF($U$33="junio",'Base cotización por meses'!H69,IF($U$33="julio",'Base cotización por meses'!I69,IF($U$33="agosto",'Base cotización por meses'!J69,IF($U$33="septiembre",'Base cotización por meses'!K69,IF($U$33="octubre",'Base cotización por meses'!L69,IF($U$33="noviembre",'Base cotización por meses'!M69,IF($U$33="diciembre",'Base cotización por meses'!N69,IF($U$33="media",'Base cotización por meses'!H24)))))))))))))*$U$48</f>
        <v>1.5340769230769233</v>
      </c>
      <c r="N24" s="79">
        <f ca="1">IF($U$33="enero",'Base cotización por meses'!C69,IF($U$33="febrero",'Base cotización por meses'!D69,IF($U$33="marzo",'Base cotización por meses'!E69,IF($U$33="abril",'Base cotización por meses'!F69,IF($U$33="mayo",'Base cotización por meses'!G69,IF($U$33="junio",'Base cotización por meses'!H69,IF($U$33="julio",'Base cotización por meses'!I69,IF($U$33="agosto",'Base cotización por meses'!J69,IF($U$33="septiembre",'Base cotización por meses'!K69,IF($U$33="octubre",'Base cotización por meses'!L69,IF($U$33="noviembre",'Base cotización por meses'!M69,IF($U$33="diciembre",'Base cotización por meses'!N69,IF($U$33="media",'Base cotización por meses'!H24)))))))))))))*$U$56</f>
        <v>36.0508076923077</v>
      </c>
      <c r="O24" s="74">
        <f ca="1">IF($U$33="enero",'Base cotización por meses'!C69,IF($U$33="febrero",'Base cotización por meses'!D69,IF($U$33="marzo",'Base cotización por meses'!E69,IF($U$33="abril",'Base cotización por meses'!F69,IF($U$33="mayo",'Base cotización por meses'!G69,IF($U$33="junio",'Base cotización por meses'!H69,IF($U$33="julio",'Base cotización por meses'!I69,IF($U$33="agosto",'Base cotización por meses'!J69,IF($U$33="septiembre",'Base cotización por meses'!K69,IF($U$33="octubre",'Base cotización por meses'!L69,IF($U$33="noviembre",'Base cotización por meses'!M69,IF($U$33="diciembre",'Base cotización por meses'!N69,IF($U$33="media",'Base cotización por meses'!H24)))))))))))))*$U$65</f>
        <v>1.1505576923076926</v>
      </c>
      <c r="P24" s="74">
        <f ca="1">IF($U$33="enero",'Base cotización por meses'!C69,IF($U$33="febrero",'Base cotización por meses'!D69,IF($U$33="marzo",'Base cotización por meses'!E69,IF($U$33="abril",'Base cotización por meses'!F69,IF($U$33="mayo",'Base cotización por meses'!G69,IF($U$33="junio",'Base cotización por meses'!H69,IF($U$33="julio",'Base cotización por meses'!I69,IF($U$33="agosto",'Base cotización por meses'!J69,IF($U$33="septiembre",'Base cotización por meses'!K69,IF($U$33="octubre",'Base cotización por meses'!L69,IF($U$33="noviembre",'Base cotización por meses'!M69,IF($U$33="diciembre",'Base cotización por meses'!N69,IF($U$33="media",'Base cotización por meses'!H24)))))))))))))*$U$59</f>
        <v>0.76703846153846167</v>
      </c>
      <c r="Q24" s="74">
        <f ca="1">IF($U$33="enero",'Base cotización por meses'!C69,IF($U$33="febrero",'Base cotización por meses'!D69,IF($U$33="marzo",'Base cotización por meses'!E69,IF($U$33="abril",'Base cotización por meses'!F69,IF($U$33="mayo",'Base cotización por meses'!G69,IF($U$33="junio",'Base cotización por meses'!H69,IF($U$33="julio",'Base cotización por meses'!I69,IF($U$33="agosto",'Base cotización por meses'!J69,IF($U$33="septiembre",'Base cotización por meses'!K69,IF($U$33="octubre",'Base cotización por meses'!L69,IF($U$33="noviembre",'Base cotización por meses'!M69,IF($U$33="diciembre",'Base cotización por meses'!N69,IF($U$33="media",'Base cotización por meses'!H24)))))))))))))*$U$62</f>
        <v>11.889096153846156</v>
      </c>
      <c r="R24" s="82">
        <f t="shared" ca="1" si="2"/>
        <v>1029.7491346153847</v>
      </c>
      <c r="S24" s="86">
        <f t="shared" ca="1" si="3"/>
        <v>717.1809615384617</v>
      </c>
      <c r="T24" s="10"/>
      <c r="U24" s="68" t="s">
        <v>65</v>
      </c>
      <c r="V24" s="67">
        <f ca="1">'Calendario Laboral 2026'!H55</f>
        <v>20</v>
      </c>
    </row>
    <row r="25" spans="2:26">
      <c r="B25" s="3">
        <v>20</v>
      </c>
      <c r="C25" s="9">
        <f t="shared" si="4"/>
        <v>455.06666666666666</v>
      </c>
      <c r="D25" s="9">
        <f t="shared" si="5"/>
        <v>43.425641025641063</v>
      </c>
      <c r="E25" s="9">
        <f t="shared" ca="1" si="6"/>
        <v>66.789743589743608</v>
      </c>
      <c r="F25" s="9">
        <f t="shared" ca="1" si="0"/>
        <v>34.766666666666652</v>
      </c>
      <c r="G25" s="9">
        <f t="shared" ca="1" si="1"/>
        <v>130.46410256410257</v>
      </c>
      <c r="H25" s="62">
        <f ca="1">IF($U$33="enero",'Base cotización por meses'!C70,IF($U$33="febrero",'Base cotización por meses'!D70,IF($U$33="marzo",'Base cotización por meses'!E70,IF($U$33="abril",'Base cotización por meses'!F70,IF($U$33="mayo",'Base cotización por meses'!G70,IF($U$33="junio",'Base cotización por meses'!H70,IF($U$33="julio",'Base cotización por meses'!I70,IF($U$33="agosto",'Base cotización por meses'!J70,IF($U$33="septiembre",'Base cotización por meses'!K70,IF($U$33="octubre",'Base cotización por meses'!L70,IF($U$33="noviembre",'Base cotización por meses'!M70,IF($U$33="diciembre",'Base cotización por meses'!N70,IF($U$33="media",'Base cotización por meses'!H25)))))))))))))*$U$36</f>
        <v>172.40102564102565</v>
      </c>
      <c r="I25" s="62">
        <f ca="1">IF($U$33="enero",'Base cotización por meses'!C70,IF($U$33="febrero",'Base cotización por meses'!D70,IF($U$33="marzo",'Base cotización por meses'!E70,IF($U$33="abril",'Base cotización por meses'!F70,IF($U$33="mayo",'Base cotización por meses'!G70,IF($U$33="junio",'Base cotización por meses'!H70,IF($U$33="julio",'Base cotización por meses'!I70,IF($U$33="agosto",'Base cotización por meses'!J70,IF($U$33="septiembre",'Base cotización por meses'!K70,IF($U$33="octubre",'Base cotización por meses'!L70,IF($U$33="noviembre",'Base cotización por meses'!M70,IF($U$33="diciembre",'Base cotización por meses'!N70,IF($U$33="media",'Base cotización por meses'!H25)))))))))))))*$U$51</f>
        <v>5.4788461538461544</v>
      </c>
      <c r="J25" s="62">
        <f ca="1">IF($U$33="enero",'Base cotización por meses'!C70,IF($U$33="febrero",'Base cotización por meses'!D70,IF($U$33="marzo",'Base cotización por meses'!E70,IF($U$33="abril",'Base cotización por meses'!F70,IF($U$33="mayo",'Base cotización por meses'!G70,IF($U$33="junio",'Base cotización por meses'!H70,IF($U$33="julio",'Base cotización por meses'!I70,IF($U$33="agosto",'Base cotización por meses'!J70,IF($U$33="septiembre",'Base cotización por meses'!K70,IF($U$33="octubre",'Base cotización por meses'!L70,IF($U$33="noviembre",'Base cotización por meses'!M70,IF($U$33="diciembre",'Base cotización por meses'!N70,IF($U$33="media",'Base cotización por meses'!H25)))))))))))))*$U$39</f>
        <v>26.298461538461538</v>
      </c>
      <c r="K25" s="62">
        <f ca="1">IF($U$33="enero",'Base cotización por meses'!C70,IF($U$33="febrero",'Base cotización por meses'!D70,IF($U$33="marzo",'Base cotización por meses'!E70,IF($U$33="abril",'Base cotización por meses'!F70,IF($U$33="mayo",'Base cotización por meses'!G70,IF($U$33="junio",'Base cotización por meses'!H70,IF($U$33="julio",'Base cotización por meses'!I70,IF($U$33="agosto",'Base cotización por meses'!J70,IF($U$33="septiembre",'Base cotización por meses'!K70,IF($U$33="octubre",'Base cotización por meses'!L70,IF($U$33="noviembre",'Base cotización por meses'!M70,IF($U$33="diciembre",'Base cotización por meses'!N70,IF($U$33="media",'Base cotización por meses'!H25)))))))))))))*$U$42</f>
        <v>40.178205128205128</v>
      </c>
      <c r="L25" s="62">
        <f ca="1">IF($U$33="enero",'Base cotización por meses'!C70,IF($U$33="febrero",'Base cotización por meses'!D70,IF($U$33="marzo",'Base cotización por meses'!E70,IF($U$33="abril",'Base cotización por meses'!F70,IF($U$33="mayo",'Base cotización por meses'!G70,IF($U$33="junio",'Base cotización por meses'!H70,IF($U$33="julio",'Base cotización por meses'!I70,IF($U$33="agosto",'Base cotización por meses'!J70,IF($U$33="septiembre",'Base cotización por meses'!K70,IF($U$33="octubre",'Base cotización por meses'!L70,IF($U$33="noviembre",'Base cotización por meses'!M70,IF($U$33="diciembre",'Base cotización por meses'!N70,IF($U$33="media",'Base cotización por meses'!H25)))))))))))))*$U$45</f>
        <v>4.3830769230769233</v>
      </c>
      <c r="M25" s="62">
        <f ca="1">IF($U$33="enero",'Base cotización por meses'!C70,IF($U$33="febrero",'Base cotización por meses'!D70,IF($U$33="marzo",'Base cotización por meses'!E70,IF($U$33="abril",'Base cotización por meses'!F70,IF($U$33="mayo",'Base cotización por meses'!G70,IF($U$33="junio",'Base cotización por meses'!H70,IF($U$33="julio",'Base cotización por meses'!I70,IF($U$33="agosto",'Base cotización por meses'!J70,IF($U$33="septiembre",'Base cotización por meses'!K70,IF($U$33="octubre",'Base cotización por meses'!L70,IF($U$33="noviembre",'Base cotización por meses'!M70,IF($U$33="diciembre",'Base cotización por meses'!N70,IF($U$33="media",'Base cotización por meses'!H25)))))))))))))*$U$48</f>
        <v>1.461025641025641</v>
      </c>
      <c r="N25" s="79">
        <f ca="1">IF($U$33="enero",'Base cotización por meses'!C70,IF($U$33="febrero",'Base cotización por meses'!D70,IF($U$33="marzo",'Base cotización por meses'!E70,IF($U$33="abril",'Base cotización por meses'!F70,IF($U$33="mayo",'Base cotización por meses'!G70,IF($U$33="junio",'Base cotización por meses'!H70,IF($U$33="julio",'Base cotización por meses'!I70,IF($U$33="agosto",'Base cotización por meses'!J70,IF($U$33="septiembre",'Base cotización por meses'!K70,IF($U$33="octubre",'Base cotización por meses'!L70,IF($U$33="noviembre",'Base cotización por meses'!M70,IF($U$33="diciembre",'Base cotización por meses'!N70,IF($U$33="media",'Base cotización por meses'!H25)))))))))))))*$U$56</f>
        <v>34.334102564102565</v>
      </c>
      <c r="O25" s="74">
        <f ca="1">IF($U$33="enero",'Base cotización por meses'!C70,IF($U$33="febrero",'Base cotización por meses'!D70,IF($U$33="marzo",'Base cotización por meses'!E70,IF($U$33="abril",'Base cotización por meses'!F70,IF($U$33="mayo",'Base cotización por meses'!G70,IF($U$33="junio",'Base cotización por meses'!H70,IF($U$33="julio",'Base cotización por meses'!I70,IF($U$33="agosto",'Base cotización por meses'!J70,IF($U$33="septiembre",'Base cotización por meses'!K70,IF($U$33="octubre",'Base cotización por meses'!L70,IF($U$33="noviembre",'Base cotización por meses'!M70,IF($U$33="diciembre",'Base cotización por meses'!N70,IF($U$33="media",'Base cotización por meses'!H25)))))))))))))*$U$65</f>
        <v>1.0957692307692308</v>
      </c>
      <c r="P25" s="74">
        <f ca="1">IF($U$33="enero",'Base cotización por meses'!C70,IF($U$33="febrero",'Base cotización por meses'!D70,IF($U$33="marzo",'Base cotización por meses'!E70,IF($U$33="abril",'Base cotización por meses'!F70,IF($U$33="mayo",'Base cotización por meses'!G70,IF($U$33="junio",'Base cotización por meses'!H70,IF($U$33="julio",'Base cotización por meses'!I70,IF($U$33="agosto",'Base cotización por meses'!J70,IF($U$33="septiembre",'Base cotización por meses'!K70,IF($U$33="octubre",'Base cotización por meses'!L70,IF($U$33="noviembre",'Base cotización por meses'!M70,IF($U$33="diciembre",'Base cotización por meses'!N70,IF($U$33="media",'Base cotización por meses'!H25)))))))))))))*$U$59</f>
        <v>0.73051282051282052</v>
      </c>
      <c r="Q25" s="74">
        <f ca="1">IF($U$33="enero",'Base cotización por meses'!C70,IF($U$33="febrero",'Base cotización por meses'!D70,IF($U$33="marzo",'Base cotización por meses'!E70,IF($U$33="abril",'Base cotización por meses'!F70,IF($U$33="mayo",'Base cotización por meses'!G70,IF($U$33="junio",'Base cotización por meses'!H70,IF($U$33="julio",'Base cotización por meses'!I70,IF($U$33="agosto",'Base cotización por meses'!J70,IF($U$33="septiembre",'Base cotización por meses'!K70,IF($U$33="octubre",'Base cotización por meses'!L70,IF($U$33="noviembre",'Base cotización por meses'!M70,IF($U$33="diciembre",'Base cotización por meses'!N70,IF($U$33="media",'Base cotización por meses'!H25)))))))))))))*$U$62</f>
        <v>11.322948717948719</v>
      </c>
      <c r="R25" s="82">
        <f t="shared" ca="1" si="2"/>
        <v>980.71346153846162</v>
      </c>
      <c r="S25" s="86">
        <f t="shared" ca="1" si="3"/>
        <v>683.02948717948721</v>
      </c>
      <c r="T25" s="10"/>
      <c r="U25" s="68" t="s">
        <v>66</v>
      </c>
      <c r="V25" s="67">
        <f ca="1">'Calendario Laboral 2026'!P55</f>
        <v>21</v>
      </c>
    </row>
    <row r="26" spans="2:26">
      <c r="B26" s="3">
        <v>19</v>
      </c>
      <c r="C26" s="9">
        <f t="shared" si="4"/>
        <v>432.31333333333333</v>
      </c>
      <c r="D26" s="9">
        <f t="shared" si="5"/>
        <v>41.254358974359008</v>
      </c>
      <c r="E26" s="9">
        <f t="shared" ca="1" si="6"/>
        <v>63.450256410256422</v>
      </c>
      <c r="F26" s="9">
        <f t="shared" ca="1" si="0"/>
        <v>33.028333333333308</v>
      </c>
      <c r="G26" s="9">
        <f t="shared" ca="1" si="1"/>
        <v>123.94089743589743</v>
      </c>
      <c r="H26" s="62">
        <f ca="1">IF($U$33="enero",'Base cotización por meses'!C71,IF($U$33="febrero",'Base cotización por meses'!D71,IF($U$33="marzo",'Base cotización por meses'!E71,IF($U$33="abril",'Base cotización por meses'!F71,IF($U$33="mayo",'Base cotización por meses'!G71,IF($U$33="junio",'Base cotización por meses'!H71,IF($U$33="julio",'Base cotización por meses'!I71,IF($U$33="agosto",'Base cotización por meses'!J71,IF($U$33="septiembre",'Base cotización por meses'!K71,IF($U$33="octubre",'Base cotización por meses'!L71,IF($U$33="noviembre",'Base cotización por meses'!M71,IF($U$33="diciembre",'Base cotización por meses'!N71,IF($U$33="media",'Base cotización por meses'!H26)))))))))))))*$U$36</f>
        <v>163.78097435897436</v>
      </c>
      <c r="I26" s="62">
        <f ca="1">IF($U$33="enero",'Base cotización por meses'!C71,IF($U$33="febrero",'Base cotización por meses'!D71,IF($U$33="marzo",'Base cotización por meses'!E71,IF($U$33="abril",'Base cotización por meses'!F71,IF($U$33="mayo",'Base cotización por meses'!G71,IF($U$33="junio",'Base cotización por meses'!H71,IF($U$33="julio",'Base cotización por meses'!I71,IF($U$33="agosto",'Base cotización por meses'!J71,IF($U$33="septiembre",'Base cotización por meses'!K71,IF($U$33="octubre",'Base cotización por meses'!L71,IF($U$33="noviembre",'Base cotización por meses'!M71,IF($U$33="diciembre",'Base cotización por meses'!N71,IF($U$33="media",'Base cotización por meses'!H26)))))))))))))*$U$51</f>
        <v>5.2049038461538464</v>
      </c>
      <c r="J26" s="62">
        <f ca="1">IF($U$33="enero",'Base cotización por meses'!C71,IF($U$33="febrero",'Base cotización por meses'!D71,IF($U$33="marzo",'Base cotización por meses'!E71,IF($U$33="abril",'Base cotización por meses'!F71,IF($U$33="mayo",'Base cotización por meses'!G71,IF($U$33="junio",'Base cotización por meses'!H71,IF($U$33="julio",'Base cotización por meses'!I71,IF($U$33="agosto",'Base cotización por meses'!J71,IF($U$33="septiembre",'Base cotización por meses'!K71,IF($U$33="octubre",'Base cotización por meses'!L71,IF($U$33="noviembre",'Base cotización por meses'!M71,IF($U$33="diciembre",'Base cotización por meses'!N71,IF($U$33="media",'Base cotización por meses'!H26)))))))))))))*$U$39</f>
        <v>24.983538461538462</v>
      </c>
      <c r="K26" s="62">
        <f ca="1">IF($U$33="enero",'Base cotización por meses'!C71,IF($U$33="febrero",'Base cotización por meses'!D71,IF($U$33="marzo",'Base cotización por meses'!E71,IF($U$33="abril",'Base cotización por meses'!F71,IF($U$33="mayo",'Base cotización por meses'!G71,IF($U$33="junio",'Base cotización por meses'!H71,IF($U$33="julio",'Base cotización por meses'!I71,IF($U$33="agosto",'Base cotización por meses'!J71,IF($U$33="septiembre",'Base cotización por meses'!K71,IF($U$33="octubre",'Base cotización por meses'!L71,IF($U$33="noviembre",'Base cotización por meses'!M71,IF($U$33="diciembre",'Base cotización por meses'!N71,IF($U$33="media",'Base cotización por meses'!H26)))))))))))))*$U$42</f>
        <v>38.169294871794875</v>
      </c>
      <c r="L26" s="62">
        <f ca="1">IF($U$33="enero",'Base cotización por meses'!C71,IF($U$33="febrero",'Base cotización por meses'!D71,IF($U$33="marzo",'Base cotización por meses'!E71,IF($U$33="abril",'Base cotización por meses'!F71,IF($U$33="mayo",'Base cotización por meses'!G71,IF($U$33="junio",'Base cotización por meses'!H71,IF($U$33="julio",'Base cotización por meses'!I71,IF($U$33="agosto",'Base cotización por meses'!J71,IF($U$33="septiembre",'Base cotización por meses'!K71,IF($U$33="octubre",'Base cotización por meses'!L71,IF($U$33="noviembre",'Base cotización por meses'!M71,IF($U$33="diciembre",'Base cotización por meses'!N71,IF($U$33="media",'Base cotización por meses'!H26)))))))))))))*$U$45</f>
        <v>4.1639230769230773</v>
      </c>
      <c r="M26" s="62">
        <f ca="1">IF($U$33="enero",'Base cotización por meses'!C71,IF($U$33="febrero",'Base cotización por meses'!D71,IF($U$33="marzo",'Base cotización por meses'!E71,IF($U$33="abril",'Base cotización por meses'!F71,IF($U$33="mayo",'Base cotización por meses'!G71,IF($U$33="junio",'Base cotización por meses'!H71,IF($U$33="julio",'Base cotización por meses'!I71,IF($U$33="agosto",'Base cotización por meses'!J71,IF($U$33="septiembre",'Base cotización por meses'!K71,IF($U$33="octubre",'Base cotización por meses'!L71,IF($U$33="noviembre",'Base cotización por meses'!M71,IF($U$33="diciembre",'Base cotización por meses'!N71,IF($U$33="media",'Base cotización por meses'!H26)))))))))))))*$U$48</f>
        <v>1.3879743589743592</v>
      </c>
      <c r="N26" s="79">
        <f ca="1">IF($U$33="enero",'Base cotización por meses'!C71,IF($U$33="febrero",'Base cotización por meses'!D71,IF($U$33="marzo",'Base cotización por meses'!E71,IF($U$33="abril",'Base cotización por meses'!F71,IF($U$33="mayo",'Base cotización por meses'!G71,IF($U$33="junio",'Base cotización por meses'!H71,IF($U$33="julio",'Base cotización por meses'!I71,IF($U$33="agosto",'Base cotización por meses'!J71,IF($U$33="septiembre",'Base cotización por meses'!K71,IF($U$33="octubre",'Base cotización por meses'!L71,IF($U$33="noviembre",'Base cotización por meses'!M71,IF($U$33="diciembre",'Base cotización por meses'!N71,IF($U$33="media",'Base cotización por meses'!H26)))))))))))))*$U$56</f>
        <v>32.617397435897438</v>
      </c>
      <c r="O26" s="74">
        <f ca="1">IF($U$33="enero",'Base cotización por meses'!C71,IF($U$33="febrero",'Base cotización por meses'!D71,IF($U$33="marzo",'Base cotización por meses'!E71,IF($U$33="abril",'Base cotización por meses'!F71,IF($U$33="mayo",'Base cotización por meses'!G71,IF($U$33="junio",'Base cotización por meses'!H71,IF($U$33="julio",'Base cotización por meses'!I71,IF($U$33="agosto",'Base cotización por meses'!J71,IF($U$33="septiembre",'Base cotización por meses'!K71,IF($U$33="octubre",'Base cotización por meses'!L71,IF($U$33="noviembre",'Base cotización por meses'!M71,IF($U$33="diciembre",'Base cotización por meses'!N71,IF($U$33="media",'Base cotización por meses'!H26)))))))))))))*$U$65</f>
        <v>1.0409807692307693</v>
      </c>
      <c r="P26" s="74">
        <f ca="1">IF($U$33="enero",'Base cotización por meses'!C71,IF($U$33="febrero",'Base cotización por meses'!D71,IF($U$33="marzo",'Base cotización por meses'!E71,IF($U$33="abril",'Base cotización por meses'!F71,IF($U$33="mayo",'Base cotización por meses'!G71,IF($U$33="junio",'Base cotización por meses'!H71,IF($U$33="julio",'Base cotización por meses'!I71,IF($U$33="agosto",'Base cotización por meses'!J71,IF($U$33="septiembre",'Base cotización por meses'!K71,IF($U$33="octubre",'Base cotización por meses'!L71,IF($U$33="noviembre",'Base cotización por meses'!M71,IF($U$33="diciembre",'Base cotización por meses'!N71,IF($U$33="media",'Base cotización por meses'!H26)))))))))))))*$U$59</f>
        <v>0.69398717948717958</v>
      </c>
      <c r="Q26" s="74">
        <f ca="1">IF($U$33="enero",'Base cotización por meses'!C71,IF($U$33="febrero",'Base cotización por meses'!D71,IF($U$33="marzo",'Base cotización por meses'!E71,IF($U$33="abril",'Base cotización por meses'!F71,IF($U$33="mayo",'Base cotización por meses'!G71,IF($U$33="junio",'Base cotización por meses'!H71,IF($U$33="julio",'Base cotización por meses'!I71,IF($U$33="agosto",'Base cotización por meses'!J71,IF($U$33="septiembre",'Base cotización por meses'!K71,IF($U$33="octubre",'Base cotización por meses'!L71,IF($U$33="noviembre",'Base cotización por meses'!M71,IF($U$33="diciembre",'Base cotización por meses'!N71,IF($U$33="media",'Base cotización por meses'!H26)))))))))))))*$U$62</f>
        <v>10.756801282051283</v>
      </c>
      <c r="R26" s="82">
        <f t="shared" ca="1" si="2"/>
        <v>931.67778846153851</v>
      </c>
      <c r="S26" s="86">
        <f t="shared" ca="1" si="3"/>
        <v>648.87801282051294</v>
      </c>
      <c r="T26" s="69"/>
      <c r="U26" s="68" t="s">
        <v>67</v>
      </c>
      <c r="V26" s="67">
        <f ca="1">'Calendario Laboral 2026'!X55</f>
        <v>21</v>
      </c>
    </row>
    <row r="27" spans="2:26">
      <c r="B27" s="3">
        <v>18</v>
      </c>
      <c r="C27" s="9">
        <f t="shared" si="4"/>
        <v>409.56</v>
      </c>
      <c r="D27" s="9">
        <f t="shared" si="5"/>
        <v>39.083076923076952</v>
      </c>
      <c r="E27" s="9">
        <f t="shared" ca="1" si="6"/>
        <v>60.110769230769236</v>
      </c>
      <c r="F27" s="9">
        <f t="shared" ca="1" si="0"/>
        <v>31.290000000000077</v>
      </c>
      <c r="G27" s="9">
        <f t="shared" ca="1" si="1"/>
        <v>117.41769230769231</v>
      </c>
      <c r="H27" s="62">
        <f ca="1">IF($U$33="enero",'Base cotización por meses'!C72,IF($U$33="febrero",'Base cotización por meses'!D72,IF($U$33="marzo",'Base cotización por meses'!E72,IF($U$33="abril",'Base cotización por meses'!F72,IF($U$33="mayo",'Base cotización por meses'!G72,IF($U$33="junio",'Base cotización por meses'!H72,IF($U$33="julio",'Base cotización por meses'!I72,IF($U$33="agosto",'Base cotización por meses'!J72,IF($U$33="septiembre",'Base cotización por meses'!K72,IF($U$33="octubre",'Base cotización por meses'!L72,IF($U$33="noviembre",'Base cotización por meses'!M72,IF($U$33="diciembre",'Base cotización por meses'!N72,IF($U$33="media",'Base cotización por meses'!H27)))))))))))))*$U$36</f>
        <v>155.1609230769231</v>
      </c>
      <c r="I27" s="62">
        <f ca="1">IF($U$33="enero",'Base cotización por meses'!C72,IF($U$33="febrero",'Base cotización por meses'!D72,IF($U$33="marzo",'Base cotización por meses'!E72,IF($U$33="abril",'Base cotización por meses'!F72,IF($U$33="mayo",'Base cotización por meses'!G72,IF($U$33="junio",'Base cotización por meses'!H72,IF($U$33="julio",'Base cotización por meses'!I72,IF($U$33="agosto",'Base cotización por meses'!J72,IF($U$33="septiembre",'Base cotización por meses'!K72,IF($U$33="octubre",'Base cotización por meses'!L72,IF($U$33="noviembre",'Base cotización por meses'!M72,IF($U$33="diciembre",'Base cotización por meses'!N72,IF($U$33="media",'Base cotización por meses'!H27)))))))))))))*$U$51</f>
        <v>4.9309615384615393</v>
      </c>
      <c r="J27" s="62">
        <f ca="1">IF($U$33="enero",'Base cotización por meses'!C72,IF($U$33="febrero",'Base cotización por meses'!D72,IF($U$33="marzo",'Base cotización por meses'!E72,IF($U$33="abril",'Base cotización por meses'!F72,IF($U$33="mayo",'Base cotización por meses'!G72,IF($U$33="junio",'Base cotización por meses'!H72,IF($U$33="julio",'Base cotización por meses'!I72,IF($U$33="agosto",'Base cotización por meses'!J72,IF($U$33="septiembre",'Base cotización por meses'!K72,IF($U$33="octubre",'Base cotización por meses'!L72,IF($U$33="noviembre",'Base cotización por meses'!M72,IF($U$33="diciembre",'Base cotización por meses'!N72,IF($U$33="media",'Base cotización por meses'!H27)))))))))))))*$U$39</f>
        <v>23.668615384615386</v>
      </c>
      <c r="K27" s="62">
        <f ca="1">IF($U$33="enero",'Base cotización por meses'!C72,IF($U$33="febrero",'Base cotización por meses'!D72,IF($U$33="marzo",'Base cotización por meses'!E72,IF($U$33="abril",'Base cotización por meses'!F72,IF($U$33="mayo",'Base cotización por meses'!G72,IF($U$33="junio",'Base cotización por meses'!H72,IF($U$33="julio",'Base cotización por meses'!I72,IF($U$33="agosto",'Base cotización por meses'!J72,IF($U$33="septiembre",'Base cotización por meses'!K72,IF($U$33="octubre",'Base cotización por meses'!L72,IF($U$33="noviembre",'Base cotización por meses'!M72,IF($U$33="diciembre",'Base cotización por meses'!N72,IF($U$33="media",'Base cotización por meses'!H27)))))))))))))*$U$42</f>
        <v>36.160384615384622</v>
      </c>
      <c r="L27" s="62">
        <f ca="1">IF($U$33="enero",'Base cotización por meses'!C72,IF($U$33="febrero",'Base cotización por meses'!D72,IF($U$33="marzo",'Base cotización por meses'!E72,IF($U$33="abril",'Base cotización por meses'!F72,IF($U$33="mayo",'Base cotización por meses'!G72,IF($U$33="junio",'Base cotización por meses'!H72,IF($U$33="julio",'Base cotización por meses'!I72,IF($U$33="agosto",'Base cotización por meses'!J72,IF($U$33="septiembre",'Base cotización por meses'!K72,IF($U$33="octubre",'Base cotización por meses'!L72,IF($U$33="noviembre",'Base cotización por meses'!M72,IF($U$33="diciembre",'Base cotización por meses'!N72,IF($U$33="media",'Base cotización por meses'!H27)))))))))))))*$U$45</f>
        <v>3.9447692307692317</v>
      </c>
      <c r="M27" s="62">
        <f ca="1">IF($U$33="enero",'Base cotización por meses'!C72,IF($U$33="febrero",'Base cotización por meses'!D72,IF($U$33="marzo",'Base cotización por meses'!E72,IF($U$33="abril",'Base cotización por meses'!F72,IF($U$33="mayo",'Base cotización por meses'!G72,IF($U$33="junio",'Base cotización por meses'!H72,IF($U$33="julio",'Base cotización por meses'!I72,IF($U$33="agosto",'Base cotización por meses'!J72,IF($U$33="septiembre",'Base cotización por meses'!K72,IF($U$33="octubre",'Base cotización por meses'!L72,IF($U$33="noviembre",'Base cotización por meses'!M72,IF($U$33="diciembre",'Base cotización por meses'!N72,IF($U$33="media",'Base cotización por meses'!H27)))))))))))))*$U$48</f>
        <v>1.3149230769230771</v>
      </c>
      <c r="N27" s="79">
        <f ca="1">IF($U$33="enero",'Base cotización por meses'!C72,IF($U$33="febrero",'Base cotización por meses'!D72,IF($U$33="marzo",'Base cotización por meses'!E72,IF($U$33="abril",'Base cotización por meses'!F72,IF($U$33="mayo",'Base cotización por meses'!G72,IF($U$33="junio",'Base cotización por meses'!H72,IF($U$33="julio",'Base cotización por meses'!I72,IF($U$33="agosto",'Base cotización por meses'!J72,IF($U$33="septiembre",'Base cotización por meses'!K72,IF($U$33="octubre",'Base cotización por meses'!L72,IF($U$33="noviembre",'Base cotización por meses'!M72,IF($U$33="diciembre",'Base cotización por meses'!N72,IF($U$33="media",'Base cotización por meses'!H27)))))))))))))*$U$56</f>
        <v>30.900692307692314</v>
      </c>
      <c r="O27" s="74">
        <f ca="1">IF($U$33="enero",'Base cotización por meses'!C72,IF($U$33="febrero",'Base cotización por meses'!D72,IF($U$33="marzo",'Base cotización por meses'!E72,IF($U$33="abril",'Base cotización por meses'!F72,IF($U$33="mayo",'Base cotización por meses'!G72,IF($U$33="junio",'Base cotización por meses'!H72,IF($U$33="julio",'Base cotización por meses'!I72,IF($U$33="agosto",'Base cotización por meses'!J72,IF($U$33="septiembre",'Base cotización por meses'!K72,IF($U$33="octubre",'Base cotización por meses'!L72,IF($U$33="noviembre",'Base cotización por meses'!M72,IF($U$33="diciembre",'Base cotización por meses'!N72,IF($U$33="media",'Base cotización por meses'!H27)))))))))))))*$U$65</f>
        <v>0.98619230769230792</v>
      </c>
      <c r="P27" s="74">
        <f ca="1">IF($U$33="enero",'Base cotización por meses'!C72,IF($U$33="febrero",'Base cotización por meses'!D72,IF($U$33="marzo",'Base cotización por meses'!E72,IF($U$33="abril",'Base cotización por meses'!F72,IF($U$33="mayo",'Base cotización por meses'!G72,IF($U$33="junio",'Base cotización por meses'!H72,IF($U$33="julio",'Base cotización por meses'!I72,IF($U$33="agosto",'Base cotización por meses'!J72,IF($U$33="septiembre",'Base cotización por meses'!K72,IF($U$33="octubre",'Base cotización por meses'!L72,IF($U$33="noviembre",'Base cotización por meses'!M72,IF($U$33="diciembre",'Base cotización por meses'!N72,IF($U$33="media",'Base cotización por meses'!H27)))))))))))))*$U$59</f>
        <v>0.65746153846153854</v>
      </c>
      <c r="Q27" s="74">
        <f ca="1">IF($U$33="enero",'Base cotización por meses'!C72,IF($U$33="febrero",'Base cotización por meses'!D72,IF($U$33="marzo",'Base cotización por meses'!E72,IF($U$33="abril",'Base cotización por meses'!F72,IF($U$33="mayo",'Base cotización por meses'!G72,IF($U$33="junio",'Base cotización por meses'!H72,IF($U$33="julio",'Base cotización por meses'!I72,IF($U$33="agosto",'Base cotización por meses'!J72,IF($U$33="septiembre",'Base cotización por meses'!K72,IF($U$33="octubre",'Base cotización por meses'!L72,IF($U$33="noviembre",'Base cotización por meses'!M72,IF($U$33="diciembre",'Base cotización por meses'!N72,IF($U$33="media",'Base cotización por meses'!H27)))))))))))))*$U$62</f>
        <v>10.190653846153849</v>
      </c>
      <c r="R27" s="82">
        <f t="shared" ca="1" si="2"/>
        <v>882.64211538461552</v>
      </c>
      <c r="S27" s="86">
        <f t="shared" ca="1" si="3"/>
        <v>614.72653846153855</v>
      </c>
      <c r="T27" s="69"/>
      <c r="W27" s="10"/>
    </row>
    <row r="28" spans="2:26" ht="16" customHeight="1" thickBot="1">
      <c r="B28" s="3">
        <v>17</v>
      </c>
      <c r="C28" s="9">
        <f t="shared" si="4"/>
        <v>386.80666666666667</v>
      </c>
      <c r="D28" s="9">
        <f t="shared" si="5"/>
        <v>36.911794871794896</v>
      </c>
      <c r="E28" s="9">
        <f t="shared" ca="1" si="6"/>
        <v>56.771282051282057</v>
      </c>
      <c r="F28" s="9">
        <f t="shared" ca="1" si="0"/>
        <v>29.55166666666662</v>
      </c>
      <c r="G28" s="9">
        <f t="shared" ca="1" si="1"/>
        <v>110.89448717948717</v>
      </c>
      <c r="H28" s="62">
        <f ca="1">IF($U$33="enero",'Base cotización por meses'!C73,IF($U$33="febrero",'Base cotización por meses'!D73,IF($U$33="marzo",'Base cotización por meses'!E73,IF($U$33="abril",'Base cotización por meses'!F73,IF($U$33="mayo",'Base cotización por meses'!G73,IF($U$33="junio",'Base cotización por meses'!H73,IF($U$33="julio",'Base cotización por meses'!I73,IF($U$33="agosto",'Base cotización por meses'!J73,IF($U$33="septiembre",'Base cotización por meses'!K73,IF($U$33="octubre",'Base cotización por meses'!L73,IF($U$33="noviembre",'Base cotización por meses'!M73,IF($U$33="diciembre",'Base cotización por meses'!N73,IF($U$33="media",'Base cotización por meses'!H28)))))))))))))*$U$36</f>
        <v>146.5408717948718</v>
      </c>
      <c r="I28" s="62">
        <f ca="1">IF($U$33="enero",'Base cotización por meses'!C73,IF($U$33="febrero",'Base cotización por meses'!D73,IF($U$33="marzo",'Base cotización por meses'!E73,IF($U$33="abril",'Base cotización por meses'!F73,IF($U$33="mayo",'Base cotización por meses'!G73,IF($U$33="junio",'Base cotización por meses'!H73,IF($U$33="julio",'Base cotización por meses'!I73,IF($U$33="agosto",'Base cotización por meses'!J73,IF($U$33="septiembre",'Base cotización por meses'!K73,IF($U$33="octubre",'Base cotización por meses'!L73,IF($U$33="noviembre",'Base cotización por meses'!M73,IF($U$33="diciembre",'Base cotización por meses'!N73,IF($U$33="media",'Base cotización por meses'!H28)))))))))))))*$U$51</f>
        <v>4.6570192307692304</v>
      </c>
      <c r="J28" s="62">
        <f ca="1">IF($U$33="enero",'Base cotización por meses'!C73,IF($U$33="febrero",'Base cotización por meses'!D73,IF($U$33="marzo",'Base cotización por meses'!E73,IF($U$33="abril",'Base cotización por meses'!F73,IF($U$33="mayo",'Base cotización por meses'!G73,IF($U$33="junio",'Base cotización por meses'!H73,IF($U$33="julio",'Base cotización por meses'!I73,IF($U$33="agosto",'Base cotización por meses'!J73,IF($U$33="septiembre",'Base cotización por meses'!K73,IF($U$33="octubre",'Base cotización por meses'!L73,IF($U$33="noviembre",'Base cotización por meses'!M73,IF($U$33="diciembre",'Base cotización por meses'!N73,IF($U$33="media",'Base cotización por meses'!H28)))))))))))))*$U$39</f>
        <v>22.353692307692306</v>
      </c>
      <c r="K28" s="62">
        <f ca="1">IF($U$33="enero",'Base cotización por meses'!C73,IF($U$33="febrero",'Base cotización por meses'!D73,IF($U$33="marzo",'Base cotización por meses'!E73,IF($U$33="abril",'Base cotización por meses'!F73,IF($U$33="mayo",'Base cotización por meses'!G73,IF($U$33="junio",'Base cotización por meses'!H73,IF($U$33="julio",'Base cotización por meses'!I73,IF($U$33="agosto",'Base cotización por meses'!J73,IF($U$33="septiembre",'Base cotización por meses'!K73,IF($U$33="octubre",'Base cotización por meses'!L73,IF($U$33="noviembre",'Base cotización por meses'!M73,IF($U$33="diciembre",'Base cotización por meses'!N73,IF($U$33="media",'Base cotización por meses'!H28)))))))))))))*$U$42</f>
        <v>34.151474358974362</v>
      </c>
      <c r="L28" s="62">
        <f ca="1">IF($U$33="enero",'Base cotización por meses'!C73,IF($U$33="febrero",'Base cotización por meses'!D73,IF($U$33="marzo",'Base cotización por meses'!E73,IF($U$33="abril",'Base cotización por meses'!F73,IF($U$33="mayo",'Base cotización por meses'!G73,IF($U$33="junio",'Base cotización por meses'!H73,IF($U$33="julio",'Base cotización por meses'!I73,IF($U$33="agosto",'Base cotización por meses'!J73,IF($U$33="septiembre",'Base cotización por meses'!K73,IF($U$33="octubre",'Base cotización por meses'!L73,IF($U$33="noviembre",'Base cotización por meses'!M73,IF($U$33="diciembre",'Base cotización por meses'!N73,IF($U$33="media",'Base cotización por meses'!H28)))))))))))))*$U$45</f>
        <v>3.7256153846153848</v>
      </c>
      <c r="M28" s="62">
        <f ca="1">IF($U$33="enero",'Base cotización por meses'!C73,IF($U$33="febrero",'Base cotización por meses'!D73,IF($U$33="marzo",'Base cotización por meses'!E73,IF($U$33="abril",'Base cotización por meses'!F73,IF($U$33="mayo",'Base cotización por meses'!G73,IF($U$33="junio",'Base cotización por meses'!H73,IF($U$33="julio",'Base cotización por meses'!I73,IF($U$33="agosto",'Base cotización por meses'!J73,IF($U$33="septiembre",'Base cotización por meses'!K73,IF($U$33="octubre",'Base cotización por meses'!L73,IF($U$33="noviembre",'Base cotización por meses'!M73,IF($U$33="diciembre",'Base cotización por meses'!N73,IF($U$33="media",'Base cotización por meses'!H28)))))))))))))*$U$48</f>
        <v>1.241871794871795</v>
      </c>
      <c r="N28" s="79">
        <f ca="1">IF($U$33="enero",'Base cotización por meses'!C73,IF($U$33="febrero",'Base cotización por meses'!D73,IF($U$33="marzo",'Base cotización por meses'!E73,IF($U$33="abril",'Base cotización por meses'!F73,IF($U$33="mayo",'Base cotización por meses'!G73,IF($U$33="junio",'Base cotización por meses'!H73,IF($U$33="julio",'Base cotización por meses'!I73,IF($U$33="agosto",'Base cotización por meses'!J73,IF($U$33="septiembre",'Base cotización por meses'!K73,IF($U$33="octubre",'Base cotización por meses'!L73,IF($U$33="noviembre",'Base cotización por meses'!M73,IF($U$33="diciembre",'Base cotización por meses'!N73,IF($U$33="media",'Base cotización por meses'!H28)))))))))))))*$U$56</f>
        <v>29.183987179487179</v>
      </c>
      <c r="O28" s="74">
        <f ca="1">IF($U$33="enero",'Base cotización por meses'!C73,IF($U$33="febrero",'Base cotización por meses'!D73,IF($U$33="marzo",'Base cotización por meses'!E73,IF($U$33="abril",'Base cotización por meses'!F73,IF($U$33="mayo",'Base cotización por meses'!G73,IF($U$33="junio",'Base cotización por meses'!H73,IF($U$33="julio",'Base cotización por meses'!I73,IF($U$33="agosto",'Base cotización por meses'!J73,IF($U$33="septiembre",'Base cotización por meses'!K73,IF($U$33="octubre",'Base cotización por meses'!L73,IF($U$33="noviembre",'Base cotización por meses'!M73,IF($U$33="diciembre",'Base cotización por meses'!N73,IF($U$33="media",'Base cotización por meses'!H28)))))))))))))*$U$65</f>
        <v>0.93140384615384619</v>
      </c>
      <c r="P28" s="74">
        <f ca="1">IF($U$33="enero",'Base cotización por meses'!C73,IF($U$33="febrero",'Base cotización por meses'!D73,IF($U$33="marzo",'Base cotización por meses'!E73,IF($U$33="abril",'Base cotización por meses'!F73,IF($U$33="mayo",'Base cotización por meses'!G73,IF($U$33="junio",'Base cotización por meses'!H73,IF($U$33="julio",'Base cotización por meses'!I73,IF($U$33="agosto",'Base cotización por meses'!J73,IF($U$33="septiembre",'Base cotización por meses'!K73,IF($U$33="octubre",'Base cotización por meses'!L73,IF($U$33="noviembre",'Base cotización por meses'!M73,IF($U$33="diciembre",'Base cotización por meses'!N73,IF($U$33="media",'Base cotización por meses'!H28)))))))))))))*$U$59</f>
        <v>0.6209358974358975</v>
      </c>
      <c r="Q28" s="74">
        <f ca="1">IF($U$33="enero",'Base cotización por meses'!C73,IF($U$33="febrero",'Base cotización por meses'!D73,IF($U$33="marzo",'Base cotización por meses'!E73,IF($U$33="abril",'Base cotización por meses'!F73,IF($U$33="mayo",'Base cotización por meses'!G73,IF($U$33="junio",'Base cotización por meses'!H73,IF($U$33="julio",'Base cotización por meses'!I73,IF($U$33="agosto",'Base cotización por meses'!J73,IF($U$33="septiembre",'Base cotización por meses'!K73,IF($U$33="octubre",'Base cotización por meses'!L73,IF($U$33="noviembre",'Base cotización por meses'!M73,IF($U$33="diciembre",'Base cotización por meses'!N73,IF($U$33="media",'Base cotización por meses'!H28)))))))))))))*$U$62</f>
        <v>9.6245064102564104</v>
      </c>
      <c r="R28" s="82">
        <f t="shared" ca="1" si="2"/>
        <v>833.60644230769242</v>
      </c>
      <c r="S28" s="86">
        <f t="shared" ca="1" si="3"/>
        <v>580.57506410256417</v>
      </c>
      <c r="T28" s="71"/>
    </row>
    <row r="29" spans="2:26" ht="16" customHeight="1" thickBot="1">
      <c r="B29" s="3">
        <v>16</v>
      </c>
      <c r="C29" s="9">
        <f t="shared" si="4"/>
        <v>364.05333333333334</v>
      </c>
      <c r="D29" s="9">
        <f t="shared" si="5"/>
        <v>34.740512820512841</v>
      </c>
      <c r="E29" s="9">
        <f t="shared" ca="1" si="6"/>
        <v>53.431794871794878</v>
      </c>
      <c r="F29" s="9">
        <f t="shared" ca="1" si="0"/>
        <v>27.813333333333389</v>
      </c>
      <c r="G29" s="9">
        <f t="shared" ca="1" si="1"/>
        <v>104.37128205128205</v>
      </c>
      <c r="H29" s="62">
        <f ca="1">IF($U$33="enero",'Base cotización por meses'!C74,IF($U$33="febrero",'Base cotización por meses'!D74,IF($U$33="marzo",'Base cotización por meses'!E74,IF($U$33="abril",'Base cotización por meses'!F74,IF($U$33="mayo",'Base cotización por meses'!G74,IF($U$33="junio",'Base cotización por meses'!H74,IF($U$33="julio",'Base cotización por meses'!I74,IF($U$33="agosto",'Base cotización por meses'!J74,IF($U$33="septiembre",'Base cotización por meses'!K74,IF($U$33="octubre",'Base cotización por meses'!L74,IF($U$33="noviembre",'Base cotización por meses'!M74,IF($U$33="diciembre",'Base cotización por meses'!N74,IF($U$33="media",'Base cotización por meses'!H29)))))))))))))*$U$36</f>
        <v>137.92082051282051</v>
      </c>
      <c r="I29" s="62">
        <f ca="1">IF($U$33="enero",'Base cotización por meses'!C74,IF($U$33="febrero",'Base cotización por meses'!D74,IF($U$33="marzo",'Base cotización por meses'!E74,IF($U$33="abril",'Base cotización por meses'!F74,IF($U$33="mayo",'Base cotización por meses'!G74,IF($U$33="junio",'Base cotización por meses'!H74,IF($U$33="julio",'Base cotización por meses'!I74,IF($U$33="agosto",'Base cotización por meses'!J74,IF($U$33="septiembre",'Base cotización por meses'!K74,IF($U$33="octubre",'Base cotización por meses'!L74,IF($U$33="noviembre",'Base cotización por meses'!M74,IF($U$33="diciembre",'Base cotización por meses'!N74,IF($U$33="media",'Base cotización por meses'!H29)))))))))))))*$U$51</f>
        <v>4.3830769230769233</v>
      </c>
      <c r="J29" s="62">
        <f ca="1">IF($U$33="enero",'Base cotización por meses'!C74,IF($U$33="febrero",'Base cotización por meses'!D74,IF($U$33="marzo",'Base cotización por meses'!E74,IF($U$33="abril",'Base cotización por meses'!F74,IF($U$33="mayo",'Base cotización por meses'!G74,IF($U$33="junio",'Base cotización por meses'!H74,IF($U$33="julio",'Base cotización por meses'!I74,IF($U$33="agosto",'Base cotización por meses'!J74,IF($U$33="septiembre",'Base cotización por meses'!K74,IF($U$33="octubre",'Base cotización por meses'!L74,IF($U$33="noviembre",'Base cotización por meses'!M74,IF($U$33="diciembre",'Base cotización por meses'!N74,IF($U$33="media",'Base cotización por meses'!H29)))))))))))))*$U$39</f>
        <v>21.03876923076923</v>
      </c>
      <c r="K29" s="62">
        <f ca="1">IF($U$33="enero",'Base cotización por meses'!C74,IF($U$33="febrero",'Base cotización por meses'!D74,IF($U$33="marzo",'Base cotización por meses'!E74,IF($U$33="abril",'Base cotización por meses'!F74,IF($U$33="mayo",'Base cotización por meses'!G74,IF($U$33="junio",'Base cotización por meses'!H74,IF($U$33="julio",'Base cotización por meses'!I74,IF($U$33="agosto",'Base cotización por meses'!J74,IF($U$33="septiembre",'Base cotización por meses'!K74,IF($U$33="octubre",'Base cotización por meses'!L74,IF($U$33="noviembre",'Base cotización por meses'!M74,IF($U$33="diciembre",'Base cotización por meses'!N74,IF($U$33="media",'Base cotización por meses'!H29)))))))))))))*$U$42</f>
        <v>32.142564102564108</v>
      </c>
      <c r="L29" s="62">
        <f ca="1">IF($U$33="enero",'Base cotización por meses'!C74,IF($U$33="febrero",'Base cotización por meses'!D74,IF($U$33="marzo",'Base cotización por meses'!E74,IF($U$33="abril",'Base cotización por meses'!F74,IF($U$33="mayo",'Base cotización por meses'!G74,IF($U$33="junio",'Base cotización por meses'!H74,IF($U$33="julio",'Base cotización por meses'!I74,IF($U$33="agosto",'Base cotización por meses'!J74,IF($U$33="septiembre",'Base cotización por meses'!K74,IF($U$33="octubre",'Base cotización por meses'!L74,IF($U$33="noviembre",'Base cotización por meses'!M74,IF($U$33="diciembre",'Base cotización por meses'!N74,IF($U$33="media",'Base cotización por meses'!H29)))))))))))))*$U$45</f>
        <v>3.5064615384615387</v>
      </c>
      <c r="M29" s="62">
        <f ca="1">IF($U$33="enero",'Base cotización por meses'!C74,IF($U$33="febrero",'Base cotización por meses'!D74,IF($U$33="marzo",'Base cotización por meses'!E74,IF($U$33="abril",'Base cotización por meses'!F74,IF($U$33="mayo",'Base cotización por meses'!G74,IF($U$33="junio",'Base cotización por meses'!H74,IF($U$33="julio",'Base cotización por meses'!I74,IF($U$33="agosto",'Base cotización por meses'!J74,IF($U$33="septiembre",'Base cotización por meses'!K74,IF($U$33="octubre",'Base cotización por meses'!L74,IF($U$33="noviembre",'Base cotización por meses'!M74,IF($U$33="diciembre",'Base cotización por meses'!N74,IF($U$33="media",'Base cotización por meses'!H29)))))))))))))*$U$48</f>
        <v>1.1688205128205129</v>
      </c>
      <c r="N29" s="79">
        <f ca="1">IF($U$33="enero",'Base cotización por meses'!C74,IF($U$33="febrero",'Base cotización por meses'!D74,IF($U$33="marzo",'Base cotización por meses'!E74,IF($U$33="abril",'Base cotización por meses'!F74,IF($U$33="mayo",'Base cotización por meses'!G74,IF($U$33="junio",'Base cotización por meses'!H74,IF($U$33="julio",'Base cotización por meses'!I74,IF($U$33="agosto",'Base cotización por meses'!J74,IF($U$33="septiembre",'Base cotización por meses'!K74,IF($U$33="octubre",'Base cotización por meses'!L74,IF($U$33="noviembre",'Base cotización por meses'!M74,IF($U$33="diciembre",'Base cotización por meses'!N74,IF($U$33="media",'Base cotización por meses'!H29)))))))))))))*$U$56</f>
        <v>27.467282051282055</v>
      </c>
      <c r="O29" s="74">
        <f ca="1">IF($U$33="enero",'Base cotización por meses'!C74,IF($U$33="febrero",'Base cotización por meses'!D74,IF($U$33="marzo",'Base cotización por meses'!E74,IF($U$33="abril",'Base cotización por meses'!F74,IF($U$33="mayo",'Base cotización por meses'!G74,IF($U$33="junio",'Base cotización por meses'!H74,IF($U$33="julio",'Base cotización por meses'!I74,IF($U$33="agosto",'Base cotización por meses'!J74,IF($U$33="septiembre",'Base cotización por meses'!K74,IF($U$33="octubre",'Base cotización por meses'!L74,IF($U$33="noviembre",'Base cotización por meses'!M74,IF($U$33="diciembre",'Base cotización por meses'!N74,IF($U$33="media",'Base cotización por meses'!H29)))))))))))))*$U$65</f>
        <v>0.87661538461538469</v>
      </c>
      <c r="P29" s="74">
        <f ca="1">IF($U$33="enero",'Base cotización por meses'!C74,IF($U$33="febrero",'Base cotización por meses'!D74,IF($U$33="marzo",'Base cotización por meses'!E74,IF($U$33="abril",'Base cotización por meses'!F74,IF($U$33="mayo",'Base cotización por meses'!G74,IF($U$33="junio",'Base cotización por meses'!H74,IF($U$33="julio",'Base cotización por meses'!I74,IF($U$33="agosto",'Base cotización por meses'!J74,IF($U$33="septiembre",'Base cotización por meses'!K74,IF($U$33="octubre",'Base cotización por meses'!L74,IF($U$33="noviembre",'Base cotización por meses'!M74,IF($U$33="diciembre",'Base cotización por meses'!N74,IF($U$33="media",'Base cotización por meses'!H29)))))))))))))*$U$59</f>
        <v>0.58441025641025646</v>
      </c>
      <c r="Q29" s="74">
        <f ca="1">IF($U$33="enero",'Base cotización por meses'!C74,IF($U$33="febrero",'Base cotización por meses'!D74,IF($U$33="marzo",'Base cotización por meses'!E74,IF($U$33="abril",'Base cotización por meses'!F74,IF($U$33="mayo",'Base cotización por meses'!G74,IF($U$33="junio",'Base cotización por meses'!H74,IF($U$33="julio",'Base cotización por meses'!I74,IF($U$33="agosto",'Base cotización por meses'!J74,IF($U$33="septiembre",'Base cotización por meses'!K74,IF($U$33="octubre",'Base cotización por meses'!L74,IF($U$33="noviembre",'Base cotización por meses'!M74,IF($U$33="diciembre",'Base cotización por meses'!N74,IF($U$33="media",'Base cotización por meses'!H29)))))))))))))*$U$62</f>
        <v>9.0583589743589759</v>
      </c>
      <c r="R29" s="82">
        <f t="shared" ca="1" si="2"/>
        <v>784.57076923076943</v>
      </c>
      <c r="S29" s="86">
        <f t="shared" ca="1" si="3"/>
        <v>546.42358974358979</v>
      </c>
      <c r="T29" s="69"/>
      <c r="U29" s="190" t="s">
        <v>68</v>
      </c>
      <c r="V29" s="165"/>
      <c r="W29" s="185"/>
    </row>
    <row r="30" spans="2:26">
      <c r="B30" s="3">
        <v>15</v>
      </c>
      <c r="C30" s="9">
        <f t="shared" si="4"/>
        <v>341.3</v>
      </c>
      <c r="D30" s="9">
        <f t="shared" si="5"/>
        <v>32.569230769230785</v>
      </c>
      <c r="E30" s="9">
        <f t="shared" ca="1" si="6"/>
        <v>50.092307692307699</v>
      </c>
      <c r="F30" s="9">
        <f t="shared" ca="1" si="0"/>
        <v>26.075000000000045</v>
      </c>
      <c r="G30" s="9">
        <f t="shared" ca="1" si="1"/>
        <v>97.848076923076931</v>
      </c>
      <c r="H30" s="62">
        <f ca="1">IF($U$33="enero",'Base cotización por meses'!C75,IF($U$33="febrero",'Base cotización por meses'!D75,IF($U$33="marzo",'Base cotización por meses'!E75,IF($U$33="abril",'Base cotización por meses'!F75,IF($U$33="mayo",'Base cotización por meses'!G75,IF($U$33="junio",'Base cotización por meses'!H75,IF($U$33="julio",'Base cotización por meses'!I75,IF($U$33="agosto",'Base cotización por meses'!J75,IF($U$33="septiembre",'Base cotización por meses'!K75,IF($U$33="octubre",'Base cotización por meses'!L75,IF($U$33="noviembre",'Base cotización por meses'!M75,IF($U$33="diciembre",'Base cotización por meses'!N75,IF($U$33="media",'Base cotización por meses'!H30)))))))))))))*$U$36</f>
        <v>129.30076923076925</v>
      </c>
      <c r="I30" s="62">
        <f ca="1">IF($U$33="enero",'Base cotización por meses'!C75,IF($U$33="febrero",'Base cotización por meses'!D75,IF($U$33="marzo",'Base cotización por meses'!E75,IF($U$33="abril",'Base cotización por meses'!F75,IF($U$33="mayo",'Base cotización por meses'!G75,IF($U$33="junio",'Base cotización por meses'!H75,IF($U$33="julio",'Base cotización por meses'!I75,IF($U$33="agosto",'Base cotización por meses'!J75,IF($U$33="septiembre",'Base cotización por meses'!K75,IF($U$33="octubre",'Base cotización por meses'!L75,IF($U$33="noviembre",'Base cotización por meses'!M75,IF($U$33="diciembre",'Base cotización por meses'!N75,IF($U$33="media",'Base cotización por meses'!H30)))))))))))))*$U$51</f>
        <v>4.1091346153846162</v>
      </c>
      <c r="J30" s="62">
        <f ca="1">IF($U$33="enero",'Base cotización por meses'!C75,IF($U$33="febrero",'Base cotización por meses'!D75,IF($U$33="marzo",'Base cotización por meses'!E75,IF($U$33="abril",'Base cotización por meses'!F75,IF($U$33="mayo",'Base cotización por meses'!G75,IF($U$33="junio",'Base cotización por meses'!H75,IF($U$33="julio",'Base cotización por meses'!I75,IF($U$33="agosto",'Base cotización por meses'!J75,IF($U$33="septiembre",'Base cotización por meses'!K75,IF($U$33="octubre",'Base cotización por meses'!L75,IF($U$33="noviembre",'Base cotización por meses'!M75,IF($U$33="diciembre",'Base cotización por meses'!N75,IF($U$33="media",'Base cotización por meses'!H30)))))))))))))*$U$39</f>
        <v>19.723846153846157</v>
      </c>
      <c r="K30" s="62">
        <f ca="1">IF($U$33="enero",'Base cotización por meses'!C75,IF($U$33="febrero",'Base cotización por meses'!D75,IF($U$33="marzo",'Base cotización por meses'!E75,IF($U$33="abril",'Base cotización por meses'!F75,IF($U$33="mayo",'Base cotización por meses'!G75,IF($U$33="junio",'Base cotización por meses'!H75,IF($U$33="julio",'Base cotización por meses'!I75,IF($U$33="agosto",'Base cotización por meses'!J75,IF($U$33="septiembre",'Base cotización por meses'!K75,IF($U$33="octubre",'Base cotización por meses'!L75,IF($U$33="noviembre",'Base cotización por meses'!M75,IF($U$33="diciembre",'Base cotización por meses'!N75,IF($U$33="media",'Base cotización por meses'!H30)))))))))))))*$U$42</f>
        <v>30.133653846153852</v>
      </c>
      <c r="L30" s="62">
        <f ca="1">IF($U$33="enero",'Base cotización por meses'!C75,IF($U$33="febrero",'Base cotización por meses'!D75,IF($U$33="marzo",'Base cotización por meses'!E75,IF($U$33="abril",'Base cotización por meses'!F75,IF($U$33="mayo",'Base cotización por meses'!G75,IF($U$33="junio",'Base cotización por meses'!H75,IF($U$33="julio",'Base cotización por meses'!I75,IF($U$33="agosto",'Base cotización por meses'!J75,IF($U$33="septiembre",'Base cotización por meses'!K75,IF($U$33="octubre",'Base cotización por meses'!L75,IF($U$33="noviembre",'Base cotización por meses'!M75,IF($U$33="diciembre",'Base cotización por meses'!N75,IF($U$33="media",'Base cotización por meses'!H30)))))))))))))*$U$45</f>
        <v>3.2873076923076927</v>
      </c>
      <c r="M30" s="62">
        <f ca="1">IF($U$33="enero",'Base cotización por meses'!C75,IF($U$33="febrero",'Base cotización por meses'!D75,IF($U$33="marzo",'Base cotización por meses'!E75,IF($U$33="abril",'Base cotización por meses'!F75,IF($U$33="mayo",'Base cotización por meses'!G75,IF($U$33="junio",'Base cotización por meses'!H75,IF($U$33="julio",'Base cotización por meses'!I75,IF($U$33="agosto",'Base cotización por meses'!J75,IF($U$33="septiembre",'Base cotización por meses'!K75,IF($U$33="octubre",'Base cotización por meses'!L75,IF($U$33="noviembre",'Base cotización por meses'!M75,IF($U$33="diciembre",'Base cotización por meses'!N75,IF($U$33="media",'Base cotización por meses'!H30)))))))))))))*$U$48</f>
        <v>1.0957692307692311</v>
      </c>
      <c r="N30" s="79">
        <f ca="1">IF($U$33="enero",'Base cotización por meses'!C75,IF($U$33="febrero",'Base cotización por meses'!D75,IF($U$33="marzo",'Base cotización por meses'!E75,IF($U$33="abril",'Base cotización por meses'!F75,IF($U$33="mayo",'Base cotización por meses'!G75,IF($U$33="junio",'Base cotización por meses'!H75,IF($U$33="julio",'Base cotización por meses'!I75,IF($U$33="agosto",'Base cotización por meses'!J75,IF($U$33="septiembre",'Base cotización por meses'!K75,IF($U$33="octubre",'Base cotización por meses'!L75,IF($U$33="noviembre",'Base cotización por meses'!M75,IF($U$33="diciembre",'Base cotización por meses'!N75,IF($U$33="media",'Base cotización por meses'!H30)))))))))))))*$U$56</f>
        <v>25.750576923076927</v>
      </c>
      <c r="O30" s="74">
        <f ca="1">IF($U$33="enero",'Base cotización por meses'!C75,IF($U$33="febrero",'Base cotización por meses'!D75,IF($U$33="marzo",'Base cotización por meses'!E75,IF($U$33="abril",'Base cotización por meses'!F75,IF($U$33="mayo",'Base cotización por meses'!G75,IF($U$33="junio",'Base cotización por meses'!H75,IF($U$33="julio",'Base cotización por meses'!I75,IF($U$33="agosto",'Base cotización por meses'!J75,IF($U$33="septiembre",'Base cotización por meses'!K75,IF($U$33="octubre",'Base cotización por meses'!L75,IF($U$33="noviembre",'Base cotización por meses'!M75,IF($U$33="diciembre",'Base cotización por meses'!N75,IF($U$33="media",'Base cotización por meses'!H30)))))))))))))*$U$65</f>
        <v>0.82182692307692318</v>
      </c>
      <c r="P30" s="74">
        <f ca="1">IF($U$33="enero",'Base cotización por meses'!C75,IF($U$33="febrero",'Base cotización por meses'!D75,IF($U$33="marzo",'Base cotización por meses'!E75,IF($U$33="abril",'Base cotización por meses'!F75,IF($U$33="mayo",'Base cotización por meses'!G75,IF($U$33="junio",'Base cotización por meses'!H75,IF($U$33="julio",'Base cotización por meses'!I75,IF($U$33="agosto",'Base cotización por meses'!J75,IF($U$33="septiembre",'Base cotización por meses'!K75,IF($U$33="octubre",'Base cotización por meses'!L75,IF($U$33="noviembre",'Base cotización por meses'!M75,IF($U$33="diciembre",'Base cotización por meses'!N75,IF($U$33="media",'Base cotización por meses'!H30)))))))))))))*$U$59</f>
        <v>0.54788461538461553</v>
      </c>
      <c r="Q30" s="74">
        <f ca="1">IF($U$33="enero",'Base cotización por meses'!C75,IF($U$33="febrero",'Base cotización por meses'!D75,IF($U$33="marzo",'Base cotización por meses'!E75,IF($U$33="abril",'Base cotización por meses'!F75,IF($U$33="mayo",'Base cotización por meses'!G75,IF($U$33="junio",'Base cotización por meses'!H75,IF($U$33="julio",'Base cotización por meses'!I75,IF($U$33="agosto",'Base cotización por meses'!J75,IF($U$33="septiembre",'Base cotización por meses'!K75,IF($U$33="octubre",'Base cotización por meses'!L75,IF($U$33="noviembre",'Base cotización por meses'!M75,IF($U$33="diciembre",'Base cotización por meses'!N75,IF($U$33="media",'Base cotización por meses'!H30)))))))))))))*$U$62</f>
        <v>8.4922115384615395</v>
      </c>
      <c r="R30" s="82">
        <f t="shared" ca="1" si="2"/>
        <v>735.5350961538461</v>
      </c>
      <c r="S30" s="86">
        <f t="shared" ca="1" si="3"/>
        <v>512.27211538461552</v>
      </c>
      <c r="T30" s="69"/>
      <c r="U30" s="196">
        <f>Costes_26!P30</f>
        <v>8.32</v>
      </c>
      <c r="V30" s="194"/>
      <c r="W30" s="195"/>
      <c r="X30" s="88" t="s">
        <v>70</v>
      </c>
    </row>
    <row r="31" spans="2:26" ht="16" customHeight="1" thickBot="1">
      <c r="B31" s="3">
        <v>14</v>
      </c>
      <c r="C31" s="9">
        <f t="shared" si="4"/>
        <v>318.54666666666668</v>
      </c>
      <c r="D31" s="9">
        <f t="shared" si="5"/>
        <v>30.397948717948733</v>
      </c>
      <c r="E31" s="9">
        <f t="shared" ca="1" si="6"/>
        <v>46.75282051282052</v>
      </c>
      <c r="F31" s="9">
        <f t="shared" ca="1" si="0"/>
        <v>24.336666666666702</v>
      </c>
      <c r="G31" s="9">
        <f t="shared" ca="1" si="1"/>
        <v>91.324871794871797</v>
      </c>
      <c r="H31" s="62">
        <f ca="1">IF($U$33="enero",'Base cotización por meses'!C76,IF($U$33="febrero",'Base cotización por meses'!D76,IF($U$33="marzo",'Base cotización por meses'!E76,IF($U$33="abril",'Base cotización por meses'!F76,IF($U$33="mayo",'Base cotización por meses'!G76,IF($U$33="junio",'Base cotización por meses'!H76,IF($U$33="julio",'Base cotización por meses'!I76,IF($U$33="agosto",'Base cotización por meses'!J76,IF($U$33="septiembre",'Base cotización por meses'!K76,IF($U$33="octubre",'Base cotización por meses'!L76,IF($U$33="noviembre",'Base cotización por meses'!M76,IF($U$33="diciembre",'Base cotización por meses'!N76,IF($U$33="media",'Base cotización por meses'!H31)))))))))))))*$U$36</f>
        <v>120.68071794871796</v>
      </c>
      <c r="I31" s="62">
        <f ca="1">IF($U$33="enero",'Base cotización por meses'!C76,IF($U$33="febrero",'Base cotización por meses'!D76,IF($U$33="marzo",'Base cotización por meses'!E76,IF($U$33="abril",'Base cotización por meses'!F76,IF($U$33="mayo",'Base cotización por meses'!G76,IF($U$33="junio",'Base cotización por meses'!H76,IF($U$33="julio",'Base cotización por meses'!I76,IF($U$33="agosto",'Base cotización por meses'!J76,IF($U$33="septiembre",'Base cotización por meses'!K76,IF($U$33="octubre",'Base cotización por meses'!L76,IF($U$33="noviembre",'Base cotización por meses'!M76,IF($U$33="diciembre",'Base cotización por meses'!N76,IF($U$33="media",'Base cotización por meses'!H31)))))))))))))*$U$51</f>
        <v>3.8351923076923082</v>
      </c>
      <c r="J31" s="62">
        <f ca="1">IF($U$33="enero",'Base cotización por meses'!C76,IF($U$33="febrero",'Base cotización por meses'!D76,IF($U$33="marzo",'Base cotización por meses'!E76,IF($U$33="abril",'Base cotización por meses'!F76,IF($U$33="mayo",'Base cotización por meses'!G76,IF($U$33="junio",'Base cotización por meses'!H76,IF($U$33="julio",'Base cotización por meses'!I76,IF($U$33="agosto",'Base cotización por meses'!J76,IF($U$33="septiembre",'Base cotización por meses'!K76,IF($U$33="octubre",'Base cotización por meses'!L76,IF($U$33="noviembre",'Base cotización por meses'!M76,IF($U$33="diciembre",'Base cotización por meses'!N76,IF($U$33="media",'Base cotización por meses'!H31)))))))))))))*$U$39</f>
        <v>18.408923076923077</v>
      </c>
      <c r="K31" s="62">
        <f ca="1">IF($U$33="enero",'Base cotización por meses'!C76,IF($U$33="febrero",'Base cotización por meses'!D76,IF($U$33="marzo",'Base cotización por meses'!E76,IF($U$33="abril",'Base cotización por meses'!F76,IF($U$33="mayo",'Base cotización por meses'!G76,IF($U$33="junio",'Base cotización por meses'!H76,IF($U$33="julio",'Base cotización por meses'!I76,IF($U$33="agosto",'Base cotización por meses'!J76,IF($U$33="septiembre",'Base cotización por meses'!K76,IF($U$33="octubre",'Base cotización por meses'!L76,IF($U$33="noviembre",'Base cotización por meses'!M76,IF($U$33="diciembre",'Base cotización por meses'!N76,IF($U$33="media",'Base cotización por meses'!H31)))))))))))))*$U$42</f>
        <v>28.124743589743595</v>
      </c>
      <c r="L31" s="62">
        <f ca="1">IF($U$33="enero",'Base cotización por meses'!C76,IF($U$33="febrero",'Base cotización por meses'!D76,IF($U$33="marzo",'Base cotización por meses'!E76,IF($U$33="abril",'Base cotización por meses'!F76,IF($U$33="mayo",'Base cotización por meses'!G76,IF($U$33="junio",'Base cotización por meses'!H76,IF($U$33="julio",'Base cotización por meses'!I76,IF($U$33="agosto",'Base cotización por meses'!J76,IF($U$33="septiembre",'Base cotización por meses'!K76,IF($U$33="octubre",'Base cotización por meses'!L76,IF($U$33="noviembre",'Base cotización por meses'!M76,IF($U$33="diciembre",'Base cotización por meses'!N76,IF($U$33="media",'Base cotización por meses'!H31)))))))))))))*$U$45</f>
        <v>3.0681538461538467</v>
      </c>
      <c r="M31" s="62">
        <f ca="1">IF($U$33="enero",'Base cotización por meses'!C76,IF($U$33="febrero",'Base cotización por meses'!D76,IF($U$33="marzo",'Base cotización por meses'!E76,IF($U$33="abril",'Base cotización por meses'!F76,IF($U$33="mayo",'Base cotización por meses'!G76,IF($U$33="junio",'Base cotización por meses'!H76,IF($U$33="julio",'Base cotización por meses'!I76,IF($U$33="agosto",'Base cotización por meses'!J76,IF($U$33="septiembre",'Base cotización por meses'!K76,IF($U$33="octubre",'Base cotización por meses'!L76,IF($U$33="noviembre",'Base cotización por meses'!M76,IF($U$33="diciembre",'Base cotización por meses'!N76,IF($U$33="media",'Base cotización por meses'!H31)))))))))))))*$U$48</f>
        <v>1.022717948717949</v>
      </c>
      <c r="N31" s="79">
        <f ca="1">IF($U$33="enero",'Base cotización por meses'!C76,IF($U$33="febrero",'Base cotización por meses'!D76,IF($U$33="marzo",'Base cotización por meses'!E76,IF($U$33="abril",'Base cotización por meses'!F76,IF($U$33="mayo",'Base cotización por meses'!G76,IF($U$33="junio",'Base cotización por meses'!H76,IF($U$33="julio",'Base cotización por meses'!I76,IF($U$33="agosto",'Base cotización por meses'!J76,IF($U$33="septiembre",'Base cotización por meses'!K76,IF($U$33="octubre",'Base cotización por meses'!L76,IF($U$33="noviembre",'Base cotización por meses'!M76,IF($U$33="diciembre",'Base cotización por meses'!N76,IF($U$33="media",'Base cotización por meses'!H31)))))))))))))*$U$56</f>
        <v>24.033871794871796</v>
      </c>
      <c r="O31" s="74">
        <f ca="1">IF($U$33="enero",'Base cotización por meses'!C76,IF($U$33="febrero",'Base cotización por meses'!D76,IF($U$33="marzo",'Base cotización por meses'!E76,IF($U$33="abril",'Base cotización por meses'!F76,IF($U$33="mayo",'Base cotización por meses'!G76,IF($U$33="junio",'Base cotización por meses'!H76,IF($U$33="julio",'Base cotización por meses'!I76,IF($U$33="agosto",'Base cotización por meses'!J76,IF($U$33="septiembre",'Base cotización por meses'!K76,IF($U$33="octubre",'Base cotización por meses'!L76,IF($U$33="noviembre",'Base cotización por meses'!M76,IF($U$33="diciembre",'Base cotización por meses'!N76,IF($U$33="media",'Base cotización por meses'!H31)))))))))))))*$U$65</f>
        <v>0.76703846153846167</v>
      </c>
      <c r="P31" s="74">
        <f ca="1">IF($U$33="enero",'Base cotización por meses'!C76,IF($U$33="febrero",'Base cotización por meses'!D76,IF($U$33="marzo",'Base cotización por meses'!E76,IF($U$33="abril",'Base cotización por meses'!F76,IF($U$33="mayo",'Base cotización por meses'!G76,IF($U$33="junio",'Base cotización por meses'!H76,IF($U$33="julio",'Base cotización por meses'!I76,IF($U$33="agosto",'Base cotización por meses'!J76,IF($U$33="septiembre",'Base cotización por meses'!K76,IF($U$33="octubre",'Base cotización por meses'!L76,IF($U$33="noviembre",'Base cotización por meses'!M76,IF($U$33="diciembre",'Base cotización por meses'!N76,IF($U$33="media",'Base cotización por meses'!H31)))))))))))))*$U$59</f>
        <v>0.51135897435897448</v>
      </c>
      <c r="Q31" s="74">
        <f ca="1">IF($U$33="enero",'Base cotización por meses'!C76,IF($U$33="febrero",'Base cotización por meses'!D76,IF($U$33="marzo",'Base cotización por meses'!E76,IF($U$33="abril",'Base cotización por meses'!F76,IF($U$33="mayo",'Base cotización por meses'!G76,IF($U$33="junio",'Base cotización por meses'!H76,IF($U$33="julio",'Base cotización por meses'!I76,IF($U$33="agosto",'Base cotización por meses'!J76,IF($U$33="septiembre",'Base cotización por meses'!K76,IF($U$33="octubre",'Base cotización por meses'!L76,IF($U$33="noviembre",'Base cotización por meses'!M76,IF($U$33="diciembre",'Base cotización por meses'!N76,IF($U$33="media",'Base cotización por meses'!H31)))))))))))))*$U$62</f>
        <v>7.9260641025641032</v>
      </c>
      <c r="R31" s="82">
        <f t="shared" ca="1" si="2"/>
        <v>686.49942307692311</v>
      </c>
      <c r="S31" s="86">
        <f t="shared" ca="1" si="3"/>
        <v>478.12064102564108</v>
      </c>
      <c r="T31" s="10"/>
    </row>
    <row r="32" spans="2:26" ht="16" customHeight="1" thickBot="1">
      <c r="B32" s="3">
        <v>13</v>
      </c>
      <c r="C32" s="9">
        <f t="shared" si="4"/>
        <v>295.79333333333335</v>
      </c>
      <c r="D32" s="9">
        <f t="shared" si="5"/>
        <v>28.226666666666681</v>
      </c>
      <c r="E32" s="9">
        <f t="shared" ca="1" si="6"/>
        <v>43.413333333333341</v>
      </c>
      <c r="F32" s="9">
        <f t="shared" ca="1" si="0"/>
        <v>22.598333333333301</v>
      </c>
      <c r="G32" s="9">
        <f t="shared" ca="1" si="1"/>
        <v>84.801666666666677</v>
      </c>
      <c r="H32" s="62">
        <f ca="1">IF($U$33="enero",'Base cotización por meses'!C77,IF($U$33="febrero",'Base cotización por meses'!D77,IF($U$33="marzo",'Base cotización por meses'!E77,IF($U$33="abril",'Base cotización por meses'!F77,IF($U$33="mayo",'Base cotización por meses'!G77,IF($U$33="junio",'Base cotización por meses'!H77,IF($U$33="julio",'Base cotización por meses'!I77,IF($U$33="agosto",'Base cotización por meses'!J77,IF($U$33="septiembre",'Base cotización por meses'!K77,IF($U$33="octubre",'Base cotización por meses'!L77,IF($U$33="noviembre",'Base cotización por meses'!M77,IF($U$33="diciembre",'Base cotización por meses'!N77,IF($U$33="media",'Base cotización por meses'!H32)))))))))))))*$U$36</f>
        <v>112.06066666666666</v>
      </c>
      <c r="I32" s="62">
        <f ca="1">IF($U$33="enero",'Base cotización por meses'!C77,IF($U$33="febrero",'Base cotización por meses'!D77,IF($U$33="marzo",'Base cotización por meses'!E77,IF($U$33="abril",'Base cotización por meses'!F77,IF($U$33="mayo",'Base cotización por meses'!G77,IF($U$33="junio",'Base cotización por meses'!H77,IF($U$33="julio",'Base cotización por meses'!I77,IF($U$33="agosto",'Base cotización por meses'!J77,IF($U$33="septiembre",'Base cotización por meses'!K77,IF($U$33="octubre",'Base cotización por meses'!L77,IF($U$33="noviembre",'Base cotización por meses'!M77,IF($U$33="diciembre",'Base cotización por meses'!N77,IF($U$33="media",'Base cotización por meses'!H32)))))))))))))*$U$51</f>
        <v>3.5612500000000002</v>
      </c>
      <c r="J32" s="62">
        <f ca="1">IF($U$33="enero",'Base cotización por meses'!C77,IF($U$33="febrero",'Base cotización por meses'!D77,IF($U$33="marzo",'Base cotización por meses'!E77,IF($U$33="abril",'Base cotización por meses'!F77,IF($U$33="mayo",'Base cotización por meses'!G77,IF($U$33="junio",'Base cotización por meses'!H77,IF($U$33="julio",'Base cotización por meses'!I77,IF($U$33="agosto",'Base cotización por meses'!J77,IF($U$33="septiembre",'Base cotización por meses'!K77,IF($U$33="octubre",'Base cotización por meses'!L77,IF($U$33="noviembre",'Base cotización por meses'!M77,IF($U$33="diciembre",'Base cotización por meses'!N77,IF($U$33="media",'Base cotización por meses'!H32)))))))))))))*$U$39</f>
        <v>17.094000000000001</v>
      </c>
      <c r="K32" s="62">
        <f ca="1">IF($U$33="enero",'Base cotización por meses'!C77,IF($U$33="febrero",'Base cotización por meses'!D77,IF($U$33="marzo",'Base cotización por meses'!E77,IF($U$33="abril",'Base cotización por meses'!F77,IF($U$33="mayo",'Base cotización por meses'!G77,IF($U$33="junio",'Base cotización por meses'!H77,IF($U$33="julio",'Base cotización por meses'!I77,IF($U$33="agosto",'Base cotización por meses'!J77,IF($U$33="septiembre",'Base cotización por meses'!K77,IF($U$33="octubre",'Base cotización por meses'!L77,IF($U$33="noviembre",'Base cotización por meses'!M77,IF($U$33="diciembre",'Base cotización por meses'!N77,IF($U$33="media",'Base cotización por meses'!H32)))))))))))))*$U$42</f>
        <v>26.115833333333335</v>
      </c>
      <c r="L32" s="62">
        <f ca="1">IF($U$33="enero",'Base cotización por meses'!C77,IF($U$33="febrero",'Base cotización por meses'!D77,IF($U$33="marzo",'Base cotización por meses'!E77,IF($U$33="abril",'Base cotización por meses'!F77,IF($U$33="mayo",'Base cotización por meses'!G77,IF($U$33="junio",'Base cotización por meses'!H77,IF($U$33="julio",'Base cotización por meses'!I77,IF($U$33="agosto",'Base cotización por meses'!J77,IF($U$33="septiembre",'Base cotización por meses'!K77,IF($U$33="octubre",'Base cotización por meses'!L77,IF($U$33="noviembre",'Base cotización por meses'!M77,IF($U$33="diciembre",'Base cotización por meses'!N77,IF($U$33="media",'Base cotización por meses'!H32)))))))))))))*$U$45</f>
        <v>2.8490000000000002</v>
      </c>
      <c r="M32" s="62">
        <f ca="1">IF($U$33="enero",'Base cotización por meses'!C77,IF($U$33="febrero",'Base cotización por meses'!D77,IF($U$33="marzo",'Base cotización por meses'!E77,IF($U$33="abril",'Base cotización por meses'!F77,IF($U$33="mayo",'Base cotización por meses'!G77,IF($U$33="junio",'Base cotización por meses'!H77,IF($U$33="julio",'Base cotización por meses'!I77,IF($U$33="agosto",'Base cotización por meses'!J77,IF($U$33="septiembre",'Base cotización por meses'!K77,IF($U$33="octubre",'Base cotización por meses'!L77,IF($U$33="noviembre",'Base cotización por meses'!M77,IF($U$33="diciembre",'Base cotización por meses'!N77,IF($U$33="media",'Base cotización por meses'!H32)))))))))))))*$U$48</f>
        <v>0.94966666666666677</v>
      </c>
      <c r="N32" s="79">
        <f ca="1">IF($U$33="enero",'Base cotización por meses'!C77,IF($U$33="febrero",'Base cotización por meses'!D77,IF($U$33="marzo",'Base cotización por meses'!E77,IF($U$33="abril",'Base cotización por meses'!F77,IF($U$33="mayo",'Base cotización por meses'!G77,IF($U$33="junio",'Base cotización por meses'!H77,IF($U$33="julio",'Base cotización por meses'!I77,IF($U$33="agosto",'Base cotización por meses'!J77,IF($U$33="septiembre",'Base cotización por meses'!K77,IF($U$33="octubre",'Base cotización por meses'!L77,IF($U$33="noviembre",'Base cotización por meses'!M77,IF($U$33="diciembre",'Base cotización por meses'!N77,IF($U$33="media",'Base cotización por meses'!H32)))))))))))))*$U$56</f>
        <v>22.317166666666669</v>
      </c>
      <c r="O32" s="74">
        <f ca="1">IF($U$33="enero",'Base cotización por meses'!C77,IF($U$33="febrero",'Base cotización por meses'!D77,IF($U$33="marzo",'Base cotización por meses'!E77,IF($U$33="abril",'Base cotización por meses'!F77,IF($U$33="mayo",'Base cotización por meses'!G77,IF($U$33="junio",'Base cotización por meses'!H77,IF($U$33="julio",'Base cotización por meses'!I77,IF($U$33="agosto",'Base cotización por meses'!J77,IF($U$33="septiembre",'Base cotización por meses'!K77,IF($U$33="octubre",'Base cotización por meses'!L77,IF($U$33="noviembre",'Base cotización por meses'!M77,IF($U$33="diciembre",'Base cotización por meses'!N77,IF($U$33="media",'Base cotización por meses'!H32)))))))))))))*$U$65</f>
        <v>0.71225000000000005</v>
      </c>
      <c r="P32" s="74">
        <f ca="1">IF($U$33="enero",'Base cotización por meses'!C77,IF($U$33="febrero",'Base cotización por meses'!D77,IF($U$33="marzo",'Base cotización por meses'!E77,IF($U$33="abril",'Base cotización por meses'!F77,IF($U$33="mayo",'Base cotización por meses'!G77,IF($U$33="junio",'Base cotización por meses'!H77,IF($U$33="julio",'Base cotización por meses'!I77,IF($U$33="agosto",'Base cotización por meses'!J77,IF($U$33="septiembre",'Base cotización por meses'!K77,IF($U$33="octubre",'Base cotización por meses'!L77,IF($U$33="noviembre",'Base cotización por meses'!M77,IF($U$33="diciembre",'Base cotización por meses'!N77,IF($U$33="media",'Base cotización por meses'!H32)))))))))))))*$U$59</f>
        <v>0.47483333333333338</v>
      </c>
      <c r="Q32" s="74">
        <f ca="1">IF($U$33="enero",'Base cotización por meses'!C77,IF($U$33="febrero",'Base cotización por meses'!D77,IF($U$33="marzo",'Base cotización por meses'!E77,IF($U$33="abril",'Base cotización por meses'!F77,IF($U$33="mayo",'Base cotización por meses'!G77,IF($U$33="junio",'Base cotización por meses'!H77,IF($U$33="julio",'Base cotización por meses'!I77,IF($U$33="agosto",'Base cotización por meses'!J77,IF($U$33="septiembre",'Base cotización por meses'!K77,IF($U$33="octubre",'Base cotización por meses'!L77,IF($U$33="noviembre",'Base cotización por meses'!M77,IF($U$33="diciembre",'Base cotización por meses'!N77,IF($U$33="media",'Base cotización por meses'!H32)))))))))))))*$U$62</f>
        <v>7.3599166666666669</v>
      </c>
      <c r="R32" s="82">
        <f t="shared" ca="1" si="2"/>
        <v>637.46375</v>
      </c>
      <c r="S32" s="86">
        <f t="shared" ca="1" si="3"/>
        <v>443.96916666666669</v>
      </c>
      <c r="T32" s="10"/>
      <c r="U32" s="190" t="s">
        <v>13</v>
      </c>
      <c r="V32" s="165"/>
      <c r="W32" s="185"/>
    </row>
    <row r="33" spans="2:25">
      <c r="B33" s="3">
        <v>12</v>
      </c>
      <c r="C33" s="9">
        <f t="shared" si="4"/>
        <v>273.04000000000002</v>
      </c>
      <c r="D33" s="9">
        <f t="shared" si="5"/>
        <v>26.055384615384629</v>
      </c>
      <c r="E33" s="9">
        <f t="shared" ca="1" si="6"/>
        <v>40.073846153846162</v>
      </c>
      <c r="F33" s="9">
        <f t="shared" ca="1" si="0"/>
        <v>20.860000000000014</v>
      </c>
      <c r="G33" s="9">
        <f t="shared" ca="1" si="1"/>
        <v>78.278461538461556</v>
      </c>
      <c r="H33" s="62">
        <f ca="1">IF($U$33="enero",'Base cotización por meses'!C78,IF($U$33="febrero",'Base cotización por meses'!D78,IF($U$33="marzo",'Base cotización por meses'!E78,IF($U$33="abril",'Base cotización por meses'!F78,IF($U$33="mayo",'Base cotización por meses'!G78,IF($U$33="junio",'Base cotización por meses'!H78,IF($U$33="julio",'Base cotización por meses'!I78,IF($U$33="agosto",'Base cotización por meses'!J78,IF($U$33="septiembre",'Base cotización por meses'!K78,IF($U$33="octubre",'Base cotización por meses'!L78,IF($U$33="noviembre",'Base cotización por meses'!M78,IF($U$33="diciembre",'Base cotización por meses'!N78,IF($U$33="media",'Base cotización por meses'!H33)))))))))))))*$U$36</f>
        <v>103.4406153846154</v>
      </c>
      <c r="I33" s="62">
        <f ca="1">IF($U$33="enero",'Base cotización por meses'!C78,IF($U$33="febrero",'Base cotización por meses'!D78,IF($U$33="marzo",'Base cotización por meses'!E78,IF($U$33="abril",'Base cotización por meses'!F78,IF($U$33="mayo",'Base cotización por meses'!G78,IF($U$33="junio",'Base cotización por meses'!H78,IF($U$33="julio",'Base cotización por meses'!I78,IF($U$33="agosto",'Base cotización por meses'!J78,IF($U$33="septiembre",'Base cotización por meses'!K78,IF($U$33="octubre",'Base cotización por meses'!L78,IF($U$33="noviembre",'Base cotización por meses'!M78,IF($U$33="diciembre",'Base cotización por meses'!N78,IF($U$33="media",'Base cotización por meses'!H33)))))))))))))*$U$51</f>
        <v>3.2873076923076927</v>
      </c>
      <c r="J33" s="62">
        <f ca="1">IF($U$33="enero",'Base cotización por meses'!C78,IF($U$33="febrero",'Base cotización por meses'!D78,IF($U$33="marzo",'Base cotización por meses'!E78,IF($U$33="abril",'Base cotización por meses'!F78,IF($U$33="mayo",'Base cotización por meses'!G78,IF($U$33="junio",'Base cotización por meses'!H78,IF($U$33="julio",'Base cotización por meses'!I78,IF($U$33="agosto",'Base cotización por meses'!J78,IF($U$33="septiembre",'Base cotización por meses'!K78,IF($U$33="octubre",'Base cotización por meses'!L78,IF($U$33="noviembre",'Base cotización por meses'!M78,IF($U$33="diciembre",'Base cotización por meses'!N78,IF($U$33="media",'Base cotización por meses'!H33)))))))))))))*$U$39</f>
        <v>15.779076923076925</v>
      </c>
      <c r="K33" s="62">
        <f ca="1">IF($U$33="enero",'Base cotización por meses'!C78,IF($U$33="febrero",'Base cotización por meses'!D78,IF($U$33="marzo",'Base cotización por meses'!E78,IF($U$33="abril",'Base cotización por meses'!F78,IF($U$33="mayo",'Base cotización por meses'!G78,IF($U$33="junio",'Base cotización por meses'!H78,IF($U$33="julio",'Base cotización por meses'!I78,IF($U$33="agosto",'Base cotización por meses'!J78,IF($U$33="septiembre",'Base cotización por meses'!K78,IF($U$33="octubre",'Base cotización por meses'!L78,IF($U$33="noviembre",'Base cotización por meses'!M78,IF($U$33="diciembre",'Base cotización por meses'!N78,IF($U$33="media",'Base cotización por meses'!H33)))))))))))))*$U$42</f>
        <v>24.106923076923081</v>
      </c>
      <c r="L33" s="62">
        <f ca="1">IF($U$33="enero",'Base cotización por meses'!C78,IF($U$33="febrero",'Base cotización por meses'!D78,IF($U$33="marzo",'Base cotización por meses'!E78,IF($U$33="abril",'Base cotización por meses'!F78,IF($U$33="mayo",'Base cotización por meses'!G78,IF($U$33="junio",'Base cotización por meses'!H78,IF($U$33="julio",'Base cotización por meses'!I78,IF($U$33="agosto",'Base cotización por meses'!J78,IF($U$33="septiembre",'Base cotización por meses'!K78,IF($U$33="octubre",'Base cotización por meses'!L78,IF($U$33="noviembre",'Base cotización por meses'!M78,IF($U$33="diciembre",'Base cotización por meses'!N78,IF($U$33="media",'Base cotización por meses'!H33)))))))))))))*$U$45</f>
        <v>2.6298461538461542</v>
      </c>
      <c r="M33" s="62">
        <f ca="1">IF($U$33="enero",'Base cotización por meses'!C78,IF($U$33="febrero",'Base cotización por meses'!D78,IF($U$33="marzo",'Base cotización por meses'!E78,IF($U$33="abril",'Base cotización por meses'!F78,IF($U$33="mayo",'Base cotización por meses'!G78,IF($U$33="junio",'Base cotización por meses'!H78,IF($U$33="julio",'Base cotización por meses'!I78,IF($U$33="agosto",'Base cotización por meses'!J78,IF($U$33="septiembre",'Base cotización por meses'!K78,IF($U$33="octubre",'Base cotización por meses'!L78,IF($U$33="noviembre",'Base cotización por meses'!M78,IF($U$33="diciembre",'Base cotización por meses'!N78,IF($U$33="media",'Base cotización por meses'!H33)))))))))))))*$U$48</f>
        <v>0.8766153846153848</v>
      </c>
      <c r="N33" s="79">
        <f ca="1">IF($U$33="enero",'Base cotización por meses'!C78,IF($U$33="febrero",'Base cotización por meses'!D78,IF($U$33="marzo",'Base cotización por meses'!E78,IF($U$33="abril",'Base cotización por meses'!F78,IF($U$33="mayo",'Base cotización por meses'!G78,IF($U$33="junio",'Base cotización por meses'!H78,IF($U$33="julio",'Base cotización por meses'!I78,IF($U$33="agosto",'Base cotización por meses'!J78,IF($U$33="septiembre",'Base cotización por meses'!K78,IF($U$33="octubre",'Base cotización por meses'!L78,IF($U$33="noviembre",'Base cotización por meses'!M78,IF($U$33="diciembre",'Base cotización por meses'!N78,IF($U$33="media",'Base cotización por meses'!H33)))))))))))))*$U$56</f>
        <v>20.600461538461541</v>
      </c>
      <c r="O33" s="74">
        <f ca="1">IF($U$33="enero",'Base cotización por meses'!C78,IF($U$33="febrero",'Base cotización por meses'!D78,IF($U$33="marzo",'Base cotización por meses'!E78,IF($U$33="abril",'Base cotización por meses'!F78,IF($U$33="mayo",'Base cotización por meses'!G78,IF($U$33="junio",'Base cotización por meses'!H78,IF($U$33="julio",'Base cotización por meses'!I78,IF($U$33="agosto",'Base cotización por meses'!J78,IF($U$33="septiembre",'Base cotización por meses'!K78,IF($U$33="octubre",'Base cotización por meses'!L78,IF($U$33="noviembre",'Base cotización por meses'!M78,IF($U$33="diciembre",'Base cotización por meses'!N78,IF($U$33="media",'Base cotización por meses'!H33)))))))))))))*$U$65</f>
        <v>0.65746153846153854</v>
      </c>
      <c r="P33" s="74">
        <f ca="1">IF($U$33="enero",'Base cotización por meses'!C78,IF($U$33="febrero",'Base cotización por meses'!D78,IF($U$33="marzo",'Base cotización por meses'!E78,IF($U$33="abril",'Base cotización por meses'!F78,IF($U$33="mayo",'Base cotización por meses'!G78,IF($U$33="junio",'Base cotización por meses'!H78,IF($U$33="julio",'Base cotización por meses'!I78,IF($U$33="agosto",'Base cotización por meses'!J78,IF($U$33="septiembre",'Base cotización por meses'!K78,IF($U$33="octubre",'Base cotización por meses'!L78,IF($U$33="noviembre",'Base cotización por meses'!M78,IF($U$33="diciembre",'Base cotización por meses'!N78,IF($U$33="media",'Base cotización por meses'!H33)))))))))))))*$U$59</f>
        <v>0.4383076923076924</v>
      </c>
      <c r="Q33" s="74">
        <f ca="1">IF($U$33="enero",'Base cotización por meses'!C78,IF($U$33="febrero",'Base cotización por meses'!D78,IF($U$33="marzo",'Base cotización por meses'!E78,IF($U$33="abril",'Base cotización por meses'!F78,IF($U$33="mayo",'Base cotización por meses'!G78,IF($U$33="junio",'Base cotización por meses'!H78,IF($U$33="julio",'Base cotización por meses'!I78,IF($U$33="agosto",'Base cotización por meses'!J78,IF($U$33="septiembre",'Base cotización por meses'!K78,IF($U$33="octubre",'Base cotización por meses'!L78,IF($U$33="noviembre",'Base cotización por meses'!M78,IF($U$33="diciembre",'Base cotización por meses'!N78,IF($U$33="media",'Base cotización por meses'!H33)))))))))))))*$U$62</f>
        <v>6.7937692307692314</v>
      </c>
      <c r="R33" s="82">
        <f t="shared" ca="1" si="2"/>
        <v>588.42807692307701</v>
      </c>
      <c r="S33" s="86">
        <f t="shared" ca="1" si="3"/>
        <v>409.81769230769237</v>
      </c>
      <c r="T33" s="10"/>
      <c r="U33" s="186" t="s">
        <v>57</v>
      </c>
      <c r="V33" s="187"/>
      <c r="W33" s="188"/>
      <c r="Y33" s="10"/>
    </row>
    <row r="34" spans="2:25" ht="16" customHeight="1" thickBot="1">
      <c r="B34" s="3">
        <v>11</v>
      </c>
      <c r="C34" s="9">
        <f t="shared" si="4"/>
        <v>250.28666666666666</v>
      </c>
      <c r="D34" s="9">
        <f t="shared" si="5"/>
        <v>23.884102564102577</v>
      </c>
      <c r="E34" s="9">
        <f t="shared" ca="1" si="6"/>
        <v>36.734358974358983</v>
      </c>
      <c r="F34" s="9">
        <f t="shared" ca="1" si="0"/>
        <v>19.121666666666727</v>
      </c>
      <c r="G34" s="9">
        <f t="shared" ca="1" si="1"/>
        <v>71.755256410256408</v>
      </c>
      <c r="H34" s="62">
        <f ca="1">IF($U$33="enero",'Base cotización por meses'!C79,IF($U$33="febrero",'Base cotización por meses'!D79,IF($U$33="marzo",'Base cotización por meses'!E79,IF($U$33="abril",'Base cotización por meses'!F79,IF($U$33="mayo",'Base cotización por meses'!G79,IF($U$33="junio",'Base cotización por meses'!H79,IF($U$33="julio",'Base cotización por meses'!I79,IF($U$33="agosto",'Base cotización por meses'!J79,IF($U$33="septiembre",'Base cotización por meses'!K79,IF($U$33="octubre",'Base cotización por meses'!L79,IF($U$33="noviembre",'Base cotización por meses'!M79,IF($U$33="diciembre",'Base cotización por meses'!N79,IF($U$33="media",'Base cotización por meses'!H34)))))))))))))*$U$36</f>
        <v>94.82056410256412</v>
      </c>
      <c r="I34" s="62">
        <f ca="1">IF($U$33="enero",'Base cotización por meses'!C79,IF($U$33="febrero",'Base cotización por meses'!D79,IF($U$33="marzo",'Base cotización por meses'!E79,IF($U$33="abril",'Base cotización por meses'!F79,IF($U$33="mayo",'Base cotización por meses'!G79,IF($U$33="junio",'Base cotización por meses'!H79,IF($U$33="julio",'Base cotización por meses'!I79,IF($U$33="agosto",'Base cotización por meses'!J79,IF($U$33="septiembre",'Base cotización por meses'!K79,IF($U$33="octubre",'Base cotización por meses'!L79,IF($U$33="noviembre",'Base cotización por meses'!M79,IF($U$33="diciembre",'Base cotización por meses'!N79,IF($U$33="media",'Base cotización por meses'!H34)))))))))))))*$U$51</f>
        <v>3.0133653846153852</v>
      </c>
      <c r="J34" s="62">
        <f ca="1">IF($U$33="enero",'Base cotización por meses'!C79,IF($U$33="febrero",'Base cotización por meses'!D79,IF($U$33="marzo",'Base cotización por meses'!E79,IF($U$33="abril",'Base cotización por meses'!F79,IF($U$33="mayo",'Base cotización por meses'!G79,IF($U$33="junio",'Base cotización por meses'!H79,IF($U$33="julio",'Base cotización por meses'!I79,IF($U$33="agosto",'Base cotización por meses'!J79,IF($U$33="septiembre",'Base cotización por meses'!K79,IF($U$33="octubre",'Base cotización por meses'!L79,IF($U$33="noviembre",'Base cotización por meses'!M79,IF($U$33="diciembre",'Base cotización por meses'!N79,IF($U$33="media",'Base cotización por meses'!H34)))))))))))))*$U$39</f>
        <v>14.464153846153849</v>
      </c>
      <c r="K34" s="62">
        <f ca="1">IF($U$33="enero",'Base cotización por meses'!C79,IF($U$33="febrero",'Base cotización por meses'!D79,IF($U$33="marzo",'Base cotización por meses'!E79,IF($U$33="abril",'Base cotización por meses'!F79,IF($U$33="mayo",'Base cotización por meses'!G79,IF($U$33="junio",'Base cotización por meses'!H79,IF($U$33="julio",'Base cotización por meses'!I79,IF($U$33="agosto",'Base cotización por meses'!J79,IF($U$33="septiembre",'Base cotización por meses'!K79,IF($U$33="octubre",'Base cotización por meses'!L79,IF($U$33="noviembre",'Base cotización por meses'!M79,IF($U$33="diciembre",'Base cotización por meses'!N79,IF($U$33="media",'Base cotización por meses'!H34)))))))))))))*$U$42</f>
        <v>22.098012820512825</v>
      </c>
      <c r="L34" s="62">
        <f ca="1">IF($U$33="enero",'Base cotización por meses'!C79,IF($U$33="febrero",'Base cotización por meses'!D79,IF($U$33="marzo",'Base cotización por meses'!E79,IF($U$33="abril",'Base cotización por meses'!F79,IF($U$33="mayo",'Base cotización por meses'!G79,IF($U$33="junio",'Base cotización por meses'!H79,IF($U$33="julio",'Base cotización por meses'!I79,IF($U$33="agosto",'Base cotización por meses'!J79,IF($U$33="septiembre",'Base cotización por meses'!K79,IF($U$33="octubre",'Base cotización por meses'!L79,IF($U$33="noviembre",'Base cotización por meses'!M79,IF($U$33="diciembre",'Base cotización por meses'!N79,IF($U$33="media",'Base cotización por meses'!H34)))))))))))))*$U$45</f>
        <v>2.4106923076923081</v>
      </c>
      <c r="M34" s="62">
        <f ca="1">IF($U$33="enero",'Base cotización por meses'!C79,IF($U$33="febrero",'Base cotización por meses'!D79,IF($U$33="marzo",'Base cotización por meses'!E79,IF($U$33="abril",'Base cotización por meses'!F79,IF($U$33="mayo",'Base cotización por meses'!G79,IF($U$33="junio",'Base cotización por meses'!H79,IF($U$33="julio",'Base cotización por meses'!I79,IF($U$33="agosto",'Base cotización por meses'!J79,IF($U$33="septiembre",'Base cotización por meses'!K79,IF($U$33="octubre",'Base cotización por meses'!L79,IF($U$33="noviembre",'Base cotización por meses'!M79,IF($U$33="diciembre",'Base cotización por meses'!N79,IF($U$33="media",'Base cotización por meses'!H34)))))))))))))*$U$48</f>
        <v>0.80356410256410282</v>
      </c>
      <c r="N34" s="79">
        <f ca="1">IF($U$33="enero",'Base cotización por meses'!C79,IF($U$33="febrero",'Base cotización por meses'!D79,IF($U$33="marzo",'Base cotización por meses'!E79,IF($U$33="abril",'Base cotización por meses'!F79,IF($U$33="mayo",'Base cotización por meses'!G79,IF($U$33="junio",'Base cotización por meses'!H79,IF($U$33="julio",'Base cotización por meses'!I79,IF($U$33="agosto",'Base cotización por meses'!J79,IF($U$33="septiembre",'Base cotización por meses'!K79,IF($U$33="octubre",'Base cotización por meses'!L79,IF($U$33="noviembre",'Base cotización por meses'!M79,IF($U$33="diciembre",'Base cotización por meses'!N79,IF($U$33="media",'Base cotización por meses'!H34)))))))))))))*$U$56</f>
        <v>18.883756410256414</v>
      </c>
      <c r="O34" s="74">
        <f ca="1">IF($U$33="enero",'Base cotización por meses'!C79,IF($U$33="febrero",'Base cotización por meses'!D79,IF($U$33="marzo",'Base cotización por meses'!E79,IF($U$33="abril",'Base cotización por meses'!F79,IF($U$33="mayo",'Base cotización por meses'!G79,IF($U$33="junio",'Base cotización por meses'!H79,IF($U$33="julio",'Base cotización por meses'!I79,IF($U$33="agosto",'Base cotización por meses'!J79,IF($U$33="septiembre",'Base cotización por meses'!K79,IF($U$33="octubre",'Base cotización por meses'!L79,IF($U$33="noviembre",'Base cotización por meses'!M79,IF($U$33="diciembre",'Base cotización por meses'!N79,IF($U$33="media",'Base cotización por meses'!H34)))))))))))))*$U$65</f>
        <v>0.60267307692307703</v>
      </c>
      <c r="P34" s="74">
        <f ca="1">IF($U$33="enero",'Base cotización por meses'!C79,IF($U$33="febrero",'Base cotización por meses'!D79,IF($U$33="marzo",'Base cotización por meses'!E79,IF($U$33="abril",'Base cotización por meses'!F79,IF($U$33="mayo",'Base cotización por meses'!G79,IF($U$33="junio",'Base cotización por meses'!H79,IF($U$33="julio",'Base cotización por meses'!I79,IF($U$33="agosto",'Base cotización por meses'!J79,IF($U$33="septiembre",'Base cotización por meses'!K79,IF($U$33="octubre",'Base cotización por meses'!L79,IF($U$33="noviembre",'Base cotización por meses'!M79,IF($U$33="diciembre",'Base cotización por meses'!N79,IF($U$33="media",'Base cotización por meses'!H34)))))))))))))*$U$59</f>
        <v>0.40178205128205141</v>
      </c>
      <c r="Q34" s="74">
        <f ca="1">IF($U$33="enero",'Base cotización por meses'!C79,IF($U$33="febrero",'Base cotización por meses'!D79,IF($U$33="marzo",'Base cotización por meses'!E79,IF($U$33="abril",'Base cotización por meses'!F79,IF($U$33="mayo",'Base cotización por meses'!G79,IF($U$33="junio",'Base cotización por meses'!H79,IF($U$33="julio",'Base cotización por meses'!I79,IF($U$33="agosto",'Base cotización por meses'!J79,IF($U$33="septiembre",'Base cotización por meses'!K79,IF($U$33="octubre",'Base cotización por meses'!L79,IF($U$33="noviembre",'Base cotización por meses'!M79,IF($U$33="diciembre",'Base cotización por meses'!N79,IF($U$33="media",'Base cotización por meses'!H34)))))))))))))*$U$62</f>
        <v>6.227621794871796</v>
      </c>
      <c r="R34" s="82">
        <f t="shared" ca="1" si="2"/>
        <v>539.39240384615402</v>
      </c>
      <c r="S34" s="86">
        <f t="shared" ca="1" si="3"/>
        <v>375.66621794871804</v>
      </c>
      <c r="T34" s="10"/>
    </row>
    <row r="35" spans="2:25" ht="16" customHeight="1" thickBot="1">
      <c r="B35" s="3">
        <v>10</v>
      </c>
      <c r="C35" s="9">
        <f t="shared" si="4"/>
        <v>227.53333333333333</v>
      </c>
      <c r="D35" s="9">
        <f t="shared" si="5"/>
        <v>21.712820512820524</v>
      </c>
      <c r="E35" s="9">
        <f t="shared" ca="1" si="6"/>
        <v>33.394871794871804</v>
      </c>
      <c r="F35" s="9">
        <f t="shared" ca="1" si="0"/>
        <v>17.383333333333326</v>
      </c>
      <c r="G35" s="9">
        <f t="shared" ca="1" si="1"/>
        <v>65.232051282051287</v>
      </c>
      <c r="H35" s="62">
        <f ca="1">IF($U$33="enero",'Base cotización por meses'!C80,IF($U$33="febrero",'Base cotización por meses'!D80,IF($U$33="marzo",'Base cotización por meses'!E80,IF($U$33="abril",'Base cotización por meses'!F80,IF($U$33="mayo",'Base cotización por meses'!G80,IF($U$33="junio",'Base cotización por meses'!H80,IF($U$33="julio",'Base cotización por meses'!I80,IF($U$33="agosto",'Base cotización por meses'!J80,IF($U$33="septiembre",'Base cotización por meses'!K80,IF($U$33="octubre",'Base cotización por meses'!L80,IF($U$33="noviembre",'Base cotización por meses'!M80,IF($U$33="diciembre",'Base cotización por meses'!N80,IF($U$33="media",'Base cotización por meses'!H35)))))))))))))*$U$36</f>
        <v>86.200512820512827</v>
      </c>
      <c r="I35" s="62">
        <f ca="1">IF($U$33="enero",'Base cotización por meses'!C80,IF($U$33="febrero",'Base cotización por meses'!D80,IF($U$33="marzo",'Base cotización por meses'!E80,IF($U$33="abril",'Base cotización por meses'!F80,IF($U$33="mayo",'Base cotización por meses'!G80,IF($U$33="junio",'Base cotización por meses'!H80,IF($U$33="julio",'Base cotización por meses'!I80,IF($U$33="agosto",'Base cotización por meses'!J80,IF($U$33="septiembre",'Base cotización por meses'!K80,IF($U$33="octubre",'Base cotización por meses'!L80,IF($U$33="noviembre",'Base cotización por meses'!M80,IF($U$33="diciembre",'Base cotización por meses'!N80,IF($U$33="media",'Base cotización por meses'!H35)))))))))))))*$U$51</f>
        <v>2.7394230769230772</v>
      </c>
      <c r="J35" s="62">
        <f ca="1">IF($U$33="enero",'Base cotización por meses'!C80,IF($U$33="febrero",'Base cotización por meses'!D80,IF($U$33="marzo",'Base cotización por meses'!E80,IF($U$33="abril",'Base cotización por meses'!F80,IF($U$33="mayo",'Base cotización por meses'!G80,IF($U$33="junio",'Base cotización por meses'!H80,IF($U$33="julio",'Base cotización por meses'!I80,IF($U$33="agosto",'Base cotización por meses'!J80,IF($U$33="septiembre",'Base cotización por meses'!K80,IF($U$33="octubre",'Base cotización por meses'!L80,IF($U$33="noviembre",'Base cotización por meses'!M80,IF($U$33="diciembre",'Base cotización por meses'!N80,IF($U$33="media",'Base cotización por meses'!H35)))))))))))))*$U$39</f>
        <v>13.149230769230769</v>
      </c>
      <c r="K35" s="62">
        <f ca="1">IF($U$33="enero",'Base cotización por meses'!C80,IF($U$33="febrero",'Base cotización por meses'!D80,IF($U$33="marzo",'Base cotización por meses'!E80,IF($U$33="abril",'Base cotización por meses'!F80,IF($U$33="mayo",'Base cotización por meses'!G80,IF($U$33="junio",'Base cotización por meses'!H80,IF($U$33="julio",'Base cotización por meses'!I80,IF($U$33="agosto",'Base cotización por meses'!J80,IF($U$33="septiembre",'Base cotización por meses'!K80,IF($U$33="octubre",'Base cotización por meses'!L80,IF($U$33="noviembre",'Base cotización por meses'!M80,IF($U$33="diciembre",'Base cotización por meses'!N80,IF($U$33="media",'Base cotización por meses'!H35)))))))))))))*$U$42</f>
        <v>20.089102564102564</v>
      </c>
      <c r="L35" s="62">
        <f ca="1">IF($U$33="enero",'Base cotización por meses'!C80,IF($U$33="febrero",'Base cotización por meses'!D80,IF($U$33="marzo",'Base cotización por meses'!E80,IF($U$33="abril",'Base cotización por meses'!F80,IF($U$33="mayo",'Base cotización por meses'!G80,IF($U$33="junio",'Base cotización por meses'!H80,IF($U$33="julio",'Base cotización por meses'!I80,IF($U$33="agosto",'Base cotización por meses'!J80,IF($U$33="septiembre",'Base cotización por meses'!K80,IF($U$33="octubre",'Base cotización por meses'!L80,IF($U$33="noviembre",'Base cotización por meses'!M80,IF($U$33="diciembre",'Base cotización por meses'!N80,IF($U$33="media",'Base cotización por meses'!H35)))))))))))))*$U$45</f>
        <v>2.1915384615384617</v>
      </c>
      <c r="M35" s="62">
        <f ca="1">IF($U$33="enero",'Base cotización por meses'!C80,IF($U$33="febrero",'Base cotización por meses'!D80,IF($U$33="marzo",'Base cotización por meses'!E80,IF($U$33="abril",'Base cotización por meses'!F80,IF($U$33="mayo",'Base cotización por meses'!G80,IF($U$33="junio",'Base cotización por meses'!H80,IF($U$33="julio",'Base cotización por meses'!I80,IF($U$33="agosto",'Base cotización por meses'!J80,IF($U$33="septiembre",'Base cotización por meses'!K80,IF($U$33="octubre",'Base cotización por meses'!L80,IF($U$33="noviembre",'Base cotización por meses'!M80,IF($U$33="diciembre",'Base cotización por meses'!N80,IF($U$33="media",'Base cotización por meses'!H35)))))))))))))*$U$48</f>
        <v>0.73051282051282052</v>
      </c>
      <c r="N35" s="79">
        <f ca="1">IF($U$33="enero",'Base cotización por meses'!C80,IF($U$33="febrero",'Base cotización por meses'!D80,IF($U$33="marzo",'Base cotización por meses'!E80,IF($U$33="abril",'Base cotización por meses'!F80,IF($U$33="mayo",'Base cotización por meses'!G80,IF($U$33="junio",'Base cotización por meses'!H80,IF($U$33="julio",'Base cotización por meses'!I80,IF($U$33="agosto",'Base cotización por meses'!J80,IF($U$33="septiembre",'Base cotización por meses'!K80,IF($U$33="octubre",'Base cotización por meses'!L80,IF($U$33="noviembre",'Base cotización por meses'!M80,IF($U$33="diciembre",'Base cotización por meses'!N80,IF($U$33="media",'Base cotización por meses'!H35)))))))))))))*$U$56</f>
        <v>17.167051282051283</v>
      </c>
      <c r="O35" s="74">
        <f ca="1">IF($U$33="enero",'Base cotización por meses'!C80,IF($U$33="febrero",'Base cotización por meses'!D80,IF($U$33="marzo",'Base cotización por meses'!E80,IF($U$33="abril",'Base cotización por meses'!F80,IF($U$33="mayo",'Base cotización por meses'!G80,IF($U$33="junio",'Base cotización por meses'!H80,IF($U$33="julio",'Base cotización por meses'!I80,IF($U$33="agosto",'Base cotización por meses'!J80,IF($U$33="septiembre",'Base cotización por meses'!K80,IF($U$33="octubre",'Base cotización por meses'!L80,IF($U$33="noviembre",'Base cotización por meses'!M80,IF($U$33="diciembre",'Base cotización por meses'!N80,IF($U$33="media",'Base cotización por meses'!H35)))))))))))))*$U$65</f>
        <v>0.54788461538461541</v>
      </c>
      <c r="P35" s="74">
        <f ca="1">IF($U$33="enero",'Base cotización por meses'!C80,IF($U$33="febrero",'Base cotización por meses'!D80,IF($U$33="marzo",'Base cotización por meses'!E80,IF($U$33="abril",'Base cotización por meses'!F80,IF($U$33="mayo",'Base cotización por meses'!G80,IF($U$33="junio",'Base cotización por meses'!H80,IF($U$33="julio",'Base cotización por meses'!I80,IF($U$33="agosto",'Base cotización por meses'!J80,IF($U$33="septiembre",'Base cotización por meses'!K80,IF($U$33="octubre",'Base cotización por meses'!L80,IF($U$33="noviembre",'Base cotización por meses'!M80,IF($U$33="diciembre",'Base cotización por meses'!N80,IF($U$33="media",'Base cotización por meses'!H35)))))))))))))*$U$59</f>
        <v>0.36525641025641026</v>
      </c>
      <c r="Q35" s="74">
        <f ca="1">IF($U$33="enero",'Base cotización por meses'!C80,IF($U$33="febrero",'Base cotización por meses'!D80,IF($U$33="marzo",'Base cotización por meses'!E80,IF($U$33="abril",'Base cotización por meses'!F80,IF($U$33="mayo",'Base cotización por meses'!G80,IF($U$33="junio",'Base cotización por meses'!H80,IF($U$33="julio",'Base cotización por meses'!I80,IF($U$33="agosto",'Base cotización por meses'!J80,IF($U$33="septiembre",'Base cotización por meses'!K80,IF($U$33="octubre",'Base cotización por meses'!L80,IF($U$33="noviembre",'Base cotización por meses'!M80,IF($U$33="diciembre",'Base cotización por meses'!N80,IF($U$33="media",'Base cotización por meses'!H35)))))))))))))*$U$62</f>
        <v>5.6614743589743597</v>
      </c>
      <c r="R35" s="82">
        <f t="shared" ca="1" si="2"/>
        <v>490.35673076923081</v>
      </c>
      <c r="S35" s="86">
        <f t="shared" ca="1" si="3"/>
        <v>341.5147435897436</v>
      </c>
      <c r="U35" s="190" t="s">
        <v>69</v>
      </c>
      <c r="V35" s="165"/>
      <c r="W35" s="185"/>
    </row>
    <row r="36" spans="2:25">
      <c r="B36" s="3">
        <v>9</v>
      </c>
      <c r="C36" s="9">
        <f t="shared" si="4"/>
        <v>204.78</v>
      </c>
      <c r="D36" s="9">
        <f t="shared" si="5"/>
        <v>19.541538461538472</v>
      </c>
      <c r="E36" s="9">
        <f t="shared" ca="1" si="6"/>
        <v>30.055384615384625</v>
      </c>
      <c r="F36" s="9">
        <f t="shared" ca="1" si="0"/>
        <v>15.645000000000039</v>
      </c>
      <c r="G36" s="9">
        <f t="shared" ca="1" si="1"/>
        <v>58.708846153846153</v>
      </c>
      <c r="H36" s="62">
        <f ca="1">IF($U$33="enero",'Base cotización por meses'!C81,IF($U$33="febrero",'Base cotización por meses'!D81,IF($U$33="marzo",'Base cotización por meses'!E81,IF($U$33="abril",'Base cotización por meses'!F81,IF($U$33="mayo",'Base cotización por meses'!G81,IF($U$33="junio",'Base cotización por meses'!H81,IF($U$33="julio",'Base cotización por meses'!I81,IF($U$33="agosto",'Base cotización por meses'!J81,IF($U$33="septiembre",'Base cotización por meses'!K81,IF($U$33="octubre",'Base cotización por meses'!L81,IF($U$33="noviembre",'Base cotización por meses'!M81,IF($U$33="diciembre",'Base cotización por meses'!N81,IF($U$33="media",'Base cotización por meses'!H36)))))))))))))*$U$36</f>
        <v>77.580461538461549</v>
      </c>
      <c r="I36" s="62">
        <f ca="1">IF($U$33="enero",'Base cotización por meses'!C81,IF($U$33="febrero",'Base cotización por meses'!D81,IF($U$33="marzo",'Base cotización por meses'!E81,IF($U$33="abril",'Base cotización por meses'!F81,IF($U$33="mayo",'Base cotización por meses'!G81,IF($U$33="junio",'Base cotización por meses'!H81,IF($U$33="julio",'Base cotización por meses'!I81,IF($U$33="agosto",'Base cotización por meses'!J81,IF($U$33="septiembre",'Base cotización por meses'!K81,IF($U$33="octubre",'Base cotización por meses'!L81,IF($U$33="noviembre",'Base cotización por meses'!M81,IF($U$33="diciembre",'Base cotización por meses'!N81,IF($U$33="media",'Base cotización por meses'!H36)))))))))))))*$U$51</f>
        <v>2.4654807692307696</v>
      </c>
      <c r="J36" s="62">
        <f ca="1">IF($U$33="enero",'Base cotización por meses'!C81,IF($U$33="febrero",'Base cotización por meses'!D81,IF($U$33="marzo",'Base cotización por meses'!E81,IF($U$33="abril",'Base cotización por meses'!F81,IF($U$33="mayo",'Base cotización por meses'!G81,IF($U$33="junio",'Base cotización por meses'!H81,IF($U$33="julio",'Base cotización por meses'!I81,IF($U$33="agosto",'Base cotización por meses'!J81,IF($U$33="septiembre",'Base cotización por meses'!K81,IF($U$33="octubre",'Base cotización por meses'!L81,IF($U$33="noviembre",'Base cotización por meses'!M81,IF($U$33="diciembre",'Base cotización por meses'!N81,IF($U$33="media",'Base cotización por meses'!H36)))))))))))))*$U$39</f>
        <v>11.834307692307693</v>
      </c>
      <c r="K36" s="62">
        <f ca="1">IF($U$33="enero",'Base cotización por meses'!C81,IF($U$33="febrero",'Base cotización por meses'!D81,IF($U$33="marzo",'Base cotización por meses'!E81,IF($U$33="abril",'Base cotización por meses'!F81,IF($U$33="mayo",'Base cotización por meses'!G81,IF($U$33="junio",'Base cotización por meses'!H81,IF($U$33="julio",'Base cotización por meses'!I81,IF($U$33="agosto",'Base cotización por meses'!J81,IF($U$33="septiembre",'Base cotización por meses'!K81,IF($U$33="octubre",'Base cotización por meses'!L81,IF($U$33="noviembre",'Base cotización por meses'!M81,IF($U$33="diciembre",'Base cotización por meses'!N81,IF($U$33="media",'Base cotización por meses'!H36)))))))))))))*$U$42</f>
        <v>18.080192307692311</v>
      </c>
      <c r="L36" s="62">
        <f ca="1">IF($U$33="enero",'Base cotización por meses'!C81,IF($U$33="febrero",'Base cotización por meses'!D81,IF($U$33="marzo",'Base cotización por meses'!E81,IF($U$33="abril",'Base cotización por meses'!F81,IF($U$33="mayo",'Base cotización por meses'!G81,IF($U$33="junio",'Base cotización por meses'!H81,IF($U$33="julio",'Base cotización por meses'!I81,IF($U$33="agosto",'Base cotización por meses'!J81,IF($U$33="septiembre",'Base cotización por meses'!K81,IF($U$33="octubre",'Base cotización por meses'!L81,IF($U$33="noviembre",'Base cotización por meses'!M81,IF($U$33="diciembre",'Base cotización por meses'!N81,IF($U$33="media",'Base cotización por meses'!H36)))))))))))))*$U$45</f>
        <v>1.9723846153846158</v>
      </c>
      <c r="M36" s="62">
        <f ca="1">IF($U$33="enero",'Base cotización por meses'!C81,IF($U$33="febrero",'Base cotización por meses'!D81,IF($U$33="marzo",'Base cotización por meses'!E81,IF($U$33="abril",'Base cotización por meses'!F81,IF($U$33="mayo",'Base cotización por meses'!G81,IF($U$33="junio",'Base cotización por meses'!H81,IF($U$33="julio",'Base cotización por meses'!I81,IF($U$33="agosto",'Base cotización por meses'!J81,IF($U$33="septiembre",'Base cotización por meses'!K81,IF($U$33="octubre",'Base cotización por meses'!L81,IF($U$33="noviembre",'Base cotización por meses'!M81,IF($U$33="diciembre",'Base cotización por meses'!N81,IF($U$33="media",'Base cotización por meses'!H36)))))))))))))*$U$48</f>
        <v>0.65746153846153854</v>
      </c>
      <c r="N36" s="79">
        <f ca="1">IF($U$33="enero",'Base cotización por meses'!C81,IF($U$33="febrero",'Base cotización por meses'!D81,IF($U$33="marzo",'Base cotización por meses'!E81,IF($U$33="abril",'Base cotización por meses'!F81,IF($U$33="mayo",'Base cotización por meses'!G81,IF($U$33="junio",'Base cotización por meses'!H81,IF($U$33="julio",'Base cotización por meses'!I81,IF($U$33="agosto",'Base cotización por meses'!J81,IF($U$33="septiembre",'Base cotización por meses'!K81,IF($U$33="octubre",'Base cotización por meses'!L81,IF($U$33="noviembre",'Base cotización por meses'!M81,IF($U$33="diciembre",'Base cotización por meses'!N81,IF($U$33="media",'Base cotización por meses'!H36)))))))))))))*$U$56</f>
        <v>15.450346153846157</v>
      </c>
      <c r="O36" s="74">
        <f ca="1">IF($U$33="enero",'Base cotización por meses'!C81,IF($U$33="febrero",'Base cotización por meses'!D81,IF($U$33="marzo",'Base cotización por meses'!E81,IF($U$33="abril",'Base cotización por meses'!F81,IF($U$33="mayo",'Base cotización por meses'!G81,IF($U$33="junio",'Base cotización por meses'!H81,IF($U$33="julio",'Base cotización por meses'!I81,IF($U$33="agosto",'Base cotización por meses'!J81,IF($U$33="septiembre",'Base cotización por meses'!K81,IF($U$33="octubre",'Base cotización por meses'!L81,IF($U$33="noviembre",'Base cotización por meses'!M81,IF($U$33="diciembre",'Base cotización por meses'!N81,IF($U$33="media",'Base cotización por meses'!H36)))))))))))))*$U$65</f>
        <v>0.49309615384615396</v>
      </c>
      <c r="P36" s="74">
        <f ca="1">IF($U$33="enero",'Base cotización por meses'!C81,IF($U$33="febrero",'Base cotización por meses'!D81,IF($U$33="marzo",'Base cotización por meses'!E81,IF($U$33="abril",'Base cotización por meses'!F81,IF($U$33="mayo",'Base cotización por meses'!G81,IF($U$33="junio",'Base cotización por meses'!H81,IF($U$33="julio",'Base cotización por meses'!I81,IF($U$33="agosto",'Base cotización por meses'!J81,IF($U$33="septiembre",'Base cotización por meses'!K81,IF($U$33="octubre",'Base cotización por meses'!L81,IF($U$33="noviembre",'Base cotización por meses'!M81,IF($U$33="diciembre",'Base cotización por meses'!N81,IF($U$33="media",'Base cotización por meses'!H36)))))))))))))*$U$59</f>
        <v>0.32873076923076927</v>
      </c>
      <c r="Q36" s="74">
        <f ca="1">IF($U$33="enero",'Base cotización por meses'!C81,IF($U$33="febrero",'Base cotización por meses'!D81,IF($U$33="marzo",'Base cotización por meses'!E81,IF($U$33="abril",'Base cotización por meses'!F81,IF($U$33="mayo",'Base cotización por meses'!G81,IF($U$33="junio",'Base cotización por meses'!H81,IF($U$33="julio",'Base cotización por meses'!I81,IF($U$33="agosto",'Base cotización por meses'!J81,IF($U$33="septiembre",'Base cotización por meses'!K81,IF($U$33="octubre",'Base cotización por meses'!L81,IF($U$33="noviembre",'Base cotización por meses'!M81,IF($U$33="diciembre",'Base cotización por meses'!N81,IF($U$33="media",'Base cotización por meses'!H36)))))))))))))*$U$62</f>
        <v>5.0953269230769243</v>
      </c>
      <c r="R36" s="82">
        <f t="shared" ca="1" si="2"/>
        <v>441.32105769230776</v>
      </c>
      <c r="S36" s="86">
        <f t="shared" ca="1" si="3"/>
        <v>307.36326923076928</v>
      </c>
      <c r="U36" s="189">
        <v>0.23599999999999999</v>
      </c>
      <c r="V36" s="187"/>
      <c r="W36" s="188"/>
      <c r="X36" s="88" t="s">
        <v>70</v>
      </c>
    </row>
    <row r="37" spans="2:25" ht="16" customHeight="1" thickBot="1">
      <c r="B37" s="3">
        <v>8</v>
      </c>
      <c r="C37" s="9">
        <f t="shared" si="4"/>
        <v>182.02666666666667</v>
      </c>
      <c r="D37" s="9">
        <f t="shared" si="5"/>
        <v>17.37025641025642</v>
      </c>
      <c r="E37" s="9">
        <f t="shared" ca="1" si="6"/>
        <v>26.715897435897443</v>
      </c>
      <c r="F37" s="9">
        <f t="shared" ca="1" si="0"/>
        <v>13.906666666666695</v>
      </c>
      <c r="G37" s="9">
        <f t="shared" ca="1" si="1"/>
        <v>52.185641025641026</v>
      </c>
      <c r="H37" s="62">
        <f ca="1">IF($U$33="enero",'Base cotización por meses'!C82,IF($U$33="febrero",'Base cotización por meses'!D82,IF($U$33="marzo",'Base cotización por meses'!E82,IF($U$33="abril",'Base cotización por meses'!F82,IF($U$33="mayo",'Base cotización por meses'!G82,IF($U$33="junio",'Base cotización por meses'!H82,IF($U$33="julio",'Base cotización por meses'!I82,IF($U$33="agosto",'Base cotización por meses'!J82,IF($U$33="septiembre",'Base cotización por meses'!K82,IF($U$33="octubre",'Base cotización por meses'!L82,IF($U$33="noviembre",'Base cotización por meses'!M82,IF($U$33="diciembre",'Base cotización por meses'!N82,IF($U$33="media",'Base cotización por meses'!H37)))))))))))))*$U$36</f>
        <v>68.960410256410256</v>
      </c>
      <c r="I37" s="62">
        <f ca="1">IF($U$33="enero",'Base cotización por meses'!C82,IF($U$33="febrero",'Base cotización por meses'!D82,IF($U$33="marzo",'Base cotización por meses'!E82,IF($U$33="abril",'Base cotización por meses'!F82,IF($U$33="mayo",'Base cotización por meses'!G82,IF($U$33="junio",'Base cotización por meses'!H82,IF($U$33="julio",'Base cotización por meses'!I82,IF($U$33="agosto",'Base cotización por meses'!J82,IF($U$33="septiembre",'Base cotización por meses'!K82,IF($U$33="octubre",'Base cotización por meses'!L82,IF($U$33="noviembre",'Base cotización por meses'!M82,IF($U$33="diciembre",'Base cotización por meses'!N82,IF($U$33="media",'Base cotización por meses'!H37)))))))))))))*$U$51</f>
        <v>2.1915384615384617</v>
      </c>
      <c r="J37" s="62">
        <f ca="1">IF($U$33="enero",'Base cotización por meses'!C82,IF($U$33="febrero",'Base cotización por meses'!D82,IF($U$33="marzo",'Base cotización por meses'!E82,IF($U$33="abril",'Base cotización por meses'!F82,IF($U$33="mayo",'Base cotización por meses'!G82,IF($U$33="junio",'Base cotización por meses'!H82,IF($U$33="julio",'Base cotización por meses'!I82,IF($U$33="agosto",'Base cotización por meses'!J82,IF($U$33="septiembre",'Base cotización por meses'!K82,IF($U$33="octubre",'Base cotización por meses'!L82,IF($U$33="noviembre",'Base cotización por meses'!M82,IF($U$33="diciembre",'Base cotización por meses'!N82,IF($U$33="media",'Base cotización por meses'!H37)))))))))))))*$U$39</f>
        <v>10.519384615384615</v>
      </c>
      <c r="K37" s="62">
        <f ca="1">IF($U$33="enero",'Base cotización por meses'!C82,IF($U$33="febrero",'Base cotización por meses'!D82,IF($U$33="marzo",'Base cotización por meses'!E82,IF($U$33="abril",'Base cotización por meses'!F82,IF($U$33="mayo",'Base cotización por meses'!G82,IF($U$33="junio",'Base cotización por meses'!H82,IF($U$33="julio",'Base cotización por meses'!I82,IF($U$33="agosto",'Base cotización por meses'!J82,IF($U$33="septiembre",'Base cotización por meses'!K82,IF($U$33="octubre",'Base cotización por meses'!L82,IF($U$33="noviembre",'Base cotización por meses'!M82,IF($U$33="diciembre",'Base cotización por meses'!N82,IF($U$33="media",'Base cotización por meses'!H37)))))))))))))*$U$42</f>
        <v>16.071282051282054</v>
      </c>
      <c r="L37" s="62">
        <f ca="1">IF($U$33="enero",'Base cotización por meses'!C82,IF($U$33="febrero",'Base cotización por meses'!D82,IF($U$33="marzo",'Base cotización por meses'!E82,IF($U$33="abril",'Base cotización por meses'!F82,IF($U$33="mayo",'Base cotización por meses'!G82,IF($U$33="junio",'Base cotización por meses'!H82,IF($U$33="julio",'Base cotización por meses'!I82,IF($U$33="agosto",'Base cotización por meses'!J82,IF($U$33="septiembre",'Base cotización por meses'!K82,IF($U$33="octubre",'Base cotización por meses'!L82,IF($U$33="noviembre",'Base cotización por meses'!M82,IF($U$33="diciembre",'Base cotización por meses'!N82,IF($U$33="media",'Base cotización por meses'!H37)))))))))))))*$U$45</f>
        <v>1.7532307692307694</v>
      </c>
      <c r="M37" s="62">
        <f ca="1">IF($U$33="enero",'Base cotización por meses'!C82,IF($U$33="febrero",'Base cotización por meses'!D82,IF($U$33="marzo",'Base cotización por meses'!E82,IF($U$33="abril",'Base cotización por meses'!F82,IF($U$33="mayo",'Base cotización por meses'!G82,IF($U$33="junio",'Base cotización por meses'!H82,IF($U$33="julio",'Base cotización por meses'!I82,IF($U$33="agosto",'Base cotización por meses'!J82,IF($U$33="septiembre",'Base cotización por meses'!K82,IF($U$33="octubre",'Base cotización por meses'!L82,IF($U$33="noviembre",'Base cotización por meses'!M82,IF($U$33="diciembre",'Base cotización por meses'!N82,IF($U$33="media",'Base cotización por meses'!H37)))))))))))))*$U$48</f>
        <v>0.58441025641025646</v>
      </c>
      <c r="N37" s="79">
        <f ca="1">IF($U$33="enero",'Base cotización por meses'!C82,IF($U$33="febrero",'Base cotización por meses'!D82,IF($U$33="marzo",'Base cotización por meses'!E82,IF($U$33="abril",'Base cotización por meses'!F82,IF($U$33="mayo",'Base cotización por meses'!G82,IF($U$33="junio",'Base cotización por meses'!H82,IF($U$33="julio",'Base cotización por meses'!I82,IF($U$33="agosto",'Base cotización por meses'!J82,IF($U$33="septiembre",'Base cotización por meses'!K82,IF($U$33="octubre",'Base cotización por meses'!L82,IF($U$33="noviembre",'Base cotización por meses'!M82,IF($U$33="diciembre",'Base cotización por meses'!N82,IF($U$33="media",'Base cotización por meses'!H37)))))))))))))*$U$56</f>
        <v>13.733641025641028</v>
      </c>
      <c r="O37" s="74">
        <f ca="1">IF($U$33="enero",'Base cotización por meses'!C82,IF($U$33="febrero",'Base cotización por meses'!D82,IF($U$33="marzo",'Base cotización por meses'!E82,IF($U$33="abril",'Base cotización por meses'!F82,IF($U$33="mayo",'Base cotización por meses'!G82,IF($U$33="junio",'Base cotización por meses'!H82,IF($U$33="julio",'Base cotización por meses'!I82,IF($U$33="agosto",'Base cotización por meses'!J82,IF($U$33="septiembre",'Base cotización por meses'!K82,IF($U$33="octubre",'Base cotización por meses'!L82,IF($U$33="noviembre",'Base cotización por meses'!M82,IF($U$33="diciembre",'Base cotización por meses'!N82,IF($U$33="media",'Base cotización por meses'!H37)))))))))))))*$U$65</f>
        <v>0.43830769230769234</v>
      </c>
      <c r="P37" s="74">
        <f ca="1">IF($U$33="enero",'Base cotización por meses'!C82,IF($U$33="febrero",'Base cotización por meses'!D82,IF($U$33="marzo",'Base cotización por meses'!E82,IF($U$33="abril",'Base cotización por meses'!F82,IF($U$33="mayo",'Base cotización por meses'!G82,IF($U$33="junio",'Base cotización por meses'!H82,IF($U$33="julio",'Base cotización por meses'!I82,IF($U$33="agosto",'Base cotización por meses'!J82,IF($U$33="septiembre",'Base cotización por meses'!K82,IF($U$33="octubre",'Base cotización por meses'!L82,IF($U$33="noviembre",'Base cotización por meses'!M82,IF($U$33="diciembre",'Base cotización por meses'!N82,IF($U$33="media",'Base cotización por meses'!H37)))))))))))))*$U$59</f>
        <v>0.29220512820512823</v>
      </c>
      <c r="Q37" s="74">
        <f ca="1">IF($U$33="enero",'Base cotización por meses'!C82,IF($U$33="febrero",'Base cotización por meses'!D82,IF($U$33="marzo",'Base cotización por meses'!E82,IF($U$33="abril",'Base cotización por meses'!F82,IF($U$33="mayo",'Base cotización por meses'!G82,IF($U$33="junio",'Base cotización por meses'!H82,IF($U$33="julio",'Base cotización por meses'!I82,IF($U$33="agosto",'Base cotización por meses'!J82,IF($U$33="septiembre",'Base cotización por meses'!K82,IF($U$33="octubre",'Base cotización por meses'!L82,IF($U$33="noviembre",'Base cotización por meses'!M82,IF($U$33="diciembre",'Base cotización por meses'!N82,IF($U$33="media",'Base cotización por meses'!H37)))))))))))))*$U$62</f>
        <v>4.5291794871794879</v>
      </c>
      <c r="R37" s="82">
        <f t="shared" ca="1" si="2"/>
        <v>392.28538461538471</v>
      </c>
      <c r="S37" s="86">
        <f t="shared" ca="1" si="3"/>
        <v>273.21179487179489</v>
      </c>
    </row>
    <row r="38" spans="2:25" ht="16" customHeight="1" thickBot="1">
      <c r="B38" s="3">
        <v>7</v>
      </c>
      <c r="C38" s="9">
        <f t="shared" si="4"/>
        <v>159.27333333333334</v>
      </c>
      <c r="D38" s="9">
        <f t="shared" si="5"/>
        <v>15.198974358974368</v>
      </c>
      <c r="E38" s="9">
        <f t="shared" ca="1" si="6"/>
        <v>23.376410256410264</v>
      </c>
      <c r="F38" s="9">
        <f t="shared" ca="1" si="0"/>
        <v>12.168333333333351</v>
      </c>
      <c r="G38" s="9">
        <f t="shared" ca="1" si="1"/>
        <v>45.662435897435898</v>
      </c>
      <c r="H38" s="62">
        <f ca="1">IF($U$33="enero",'Base cotización por meses'!C83,IF($U$33="febrero",'Base cotización por meses'!D83,IF($U$33="marzo",'Base cotización por meses'!E83,IF($U$33="abril",'Base cotización por meses'!F83,IF($U$33="mayo",'Base cotización por meses'!G83,IF($U$33="junio",'Base cotización por meses'!H83,IF($U$33="julio",'Base cotización por meses'!I83,IF($U$33="agosto",'Base cotización por meses'!J83,IF($U$33="septiembre",'Base cotización por meses'!K83,IF($U$33="octubre",'Base cotización por meses'!L83,IF($U$33="noviembre",'Base cotización por meses'!M83,IF($U$33="diciembre",'Base cotización por meses'!N83,IF($U$33="media",'Base cotización por meses'!H38)))))))))))))*$U$36</f>
        <v>60.340358974358978</v>
      </c>
      <c r="I38" s="62">
        <f ca="1">IF($U$33="enero",'Base cotización por meses'!C83,IF($U$33="febrero",'Base cotización por meses'!D83,IF($U$33="marzo",'Base cotización por meses'!E83,IF($U$33="abril",'Base cotización por meses'!F83,IF($U$33="mayo",'Base cotización por meses'!G83,IF($U$33="junio",'Base cotización por meses'!H83,IF($U$33="julio",'Base cotización por meses'!I83,IF($U$33="agosto",'Base cotización por meses'!J83,IF($U$33="septiembre",'Base cotización por meses'!K83,IF($U$33="octubre",'Base cotización por meses'!L83,IF($U$33="noviembre",'Base cotización por meses'!M83,IF($U$33="diciembre",'Base cotización por meses'!N83,IF($U$33="media",'Base cotización por meses'!H38)))))))))))))*$U$51</f>
        <v>1.9175961538461541</v>
      </c>
      <c r="J38" s="62">
        <f ca="1">IF($U$33="enero",'Base cotización por meses'!C83,IF($U$33="febrero",'Base cotización por meses'!D83,IF($U$33="marzo",'Base cotización por meses'!E83,IF($U$33="abril",'Base cotización por meses'!F83,IF($U$33="mayo",'Base cotización por meses'!G83,IF($U$33="junio",'Base cotización por meses'!H83,IF($U$33="julio",'Base cotización por meses'!I83,IF($U$33="agosto",'Base cotización por meses'!J83,IF($U$33="septiembre",'Base cotización por meses'!K83,IF($U$33="octubre",'Base cotización por meses'!L83,IF($U$33="noviembre",'Base cotización por meses'!M83,IF($U$33="diciembre",'Base cotización por meses'!N83,IF($U$33="media",'Base cotización por meses'!H38)))))))))))))*$U$39</f>
        <v>9.2044615384615387</v>
      </c>
      <c r="K38" s="62">
        <f ca="1">IF($U$33="enero",'Base cotización por meses'!C83,IF($U$33="febrero",'Base cotización por meses'!D83,IF($U$33="marzo",'Base cotización por meses'!E83,IF($U$33="abril",'Base cotización por meses'!F83,IF($U$33="mayo",'Base cotización por meses'!G83,IF($U$33="junio",'Base cotización por meses'!H83,IF($U$33="julio",'Base cotización por meses'!I83,IF($U$33="agosto",'Base cotización por meses'!J83,IF($U$33="septiembre",'Base cotización por meses'!K83,IF($U$33="octubre",'Base cotización por meses'!L83,IF($U$33="noviembre",'Base cotización por meses'!M83,IF($U$33="diciembre",'Base cotización por meses'!N83,IF($U$33="media",'Base cotización por meses'!H38)))))))))))))*$U$42</f>
        <v>14.062371794871797</v>
      </c>
      <c r="L38" s="62">
        <f ca="1">IF($U$33="enero",'Base cotización por meses'!C83,IF($U$33="febrero",'Base cotización por meses'!D83,IF($U$33="marzo",'Base cotización por meses'!E83,IF($U$33="abril",'Base cotización por meses'!F83,IF($U$33="mayo",'Base cotización por meses'!G83,IF($U$33="junio",'Base cotización por meses'!H83,IF($U$33="julio",'Base cotización por meses'!I83,IF($U$33="agosto",'Base cotización por meses'!J83,IF($U$33="septiembre",'Base cotización por meses'!K83,IF($U$33="octubre",'Base cotización por meses'!L83,IF($U$33="noviembre",'Base cotización por meses'!M83,IF($U$33="diciembre",'Base cotización por meses'!N83,IF($U$33="media",'Base cotización por meses'!H38)))))))))))))*$U$45</f>
        <v>1.5340769230769233</v>
      </c>
      <c r="M38" s="62">
        <f ca="1">IF($U$33="enero",'Base cotización por meses'!C83,IF($U$33="febrero",'Base cotización por meses'!D83,IF($U$33="marzo",'Base cotización por meses'!E83,IF($U$33="abril",'Base cotización por meses'!F83,IF($U$33="mayo",'Base cotización por meses'!G83,IF($U$33="junio",'Base cotización por meses'!H83,IF($U$33="julio",'Base cotización por meses'!I83,IF($U$33="agosto",'Base cotización por meses'!J83,IF($U$33="septiembre",'Base cotización por meses'!K83,IF($U$33="octubre",'Base cotización por meses'!L83,IF($U$33="noviembre",'Base cotización por meses'!M83,IF($U$33="diciembre",'Base cotización por meses'!N83,IF($U$33="media",'Base cotización por meses'!H38)))))))))))))*$U$48</f>
        <v>0.51135897435897448</v>
      </c>
      <c r="N38" s="79">
        <f ca="1">IF($U$33="enero",'Base cotización por meses'!C83,IF($U$33="febrero",'Base cotización por meses'!D83,IF($U$33="marzo",'Base cotización por meses'!E83,IF($U$33="abril",'Base cotización por meses'!F83,IF($U$33="mayo",'Base cotización por meses'!G83,IF($U$33="junio",'Base cotización por meses'!H83,IF($U$33="julio",'Base cotización por meses'!I83,IF($U$33="agosto",'Base cotización por meses'!J83,IF($U$33="septiembre",'Base cotización por meses'!K83,IF($U$33="octubre",'Base cotización por meses'!L83,IF($U$33="noviembre",'Base cotización por meses'!M83,IF($U$33="diciembre",'Base cotización por meses'!N83,IF($U$33="media",'Base cotización por meses'!H38)))))))))))))*$U$56</f>
        <v>12.016935897435898</v>
      </c>
      <c r="O38" s="74">
        <f ca="1">IF($U$33="enero",'Base cotización por meses'!C83,IF($U$33="febrero",'Base cotización por meses'!D83,IF($U$33="marzo",'Base cotización por meses'!E83,IF($U$33="abril",'Base cotización por meses'!F83,IF($U$33="mayo",'Base cotización por meses'!G83,IF($U$33="junio",'Base cotización por meses'!H83,IF($U$33="julio",'Base cotización por meses'!I83,IF($U$33="agosto",'Base cotización por meses'!J83,IF($U$33="septiembre",'Base cotización por meses'!K83,IF($U$33="octubre",'Base cotización por meses'!L83,IF($U$33="noviembre",'Base cotización por meses'!M83,IF($U$33="diciembre",'Base cotización por meses'!N83,IF($U$33="media",'Base cotización por meses'!H38)))))))))))))*$U$65</f>
        <v>0.38351923076923083</v>
      </c>
      <c r="P38" s="74">
        <f ca="1">IF($U$33="enero",'Base cotización por meses'!C83,IF($U$33="febrero",'Base cotización por meses'!D83,IF($U$33="marzo",'Base cotización por meses'!E83,IF($U$33="abril",'Base cotización por meses'!F83,IF($U$33="mayo",'Base cotización por meses'!G83,IF($U$33="junio",'Base cotización por meses'!H83,IF($U$33="julio",'Base cotización por meses'!I83,IF($U$33="agosto",'Base cotización por meses'!J83,IF($U$33="septiembre",'Base cotización por meses'!K83,IF($U$33="octubre",'Base cotización por meses'!L83,IF($U$33="noviembre",'Base cotización por meses'!M83,IF($U$33="diciembre",'Base cotización por meses'!N83,IF($U$33="media",'Base cotización por meses'!H38)))))))))))))*$U$59</f>
        <v>0.25567948717948724</v>
      </c>
      <c r="Q38" s="74">
        <f ca="1">IF($U$33="enero",'Base cotización por meses'!C83,IF($U$33="febrero",'Base cotización por meses'!D83,IF($U$33="marzo",'Base cotización por meses'!E83,IF($U$33="abril",'Base cotización por meses'!F83,IF($U$33="mayo",'Base cotización por meses'!G83,IF($U$33="junio",'Base cotización por meses'!H83,IF($U$33="julio",'Base cotización por meses'!I83,IF($U$33="agosto",'Base cotización por meses'!J83,IF($U$33="septiembre",'Base cotización por meses'!K83,IF($U$33="octubre",'Base cotización por meses'!L83,IF($U$33="noviembre",'Base cotización por meses'!M83,IF($U$33="diciembre",'Base cotización por meses'!N83,IF($U$33="media",'Base cotización por meses'!H38)))))))))))))*$U$62</f>
        <v>3.9630320512820516</v>
      </c>
      <c r="R38" s="82">
        <f t="shared" ca="1" si="2"/>
        <v>343.24971153846155</v>
      </c>
      <c r="S38" s="86">
        <f t="shared" ca="1" si="3"/>
        <v>239.06032051282054</v>
      </c>
      <c r="U38" s="190" t="s">
        <v>71</v>
      </c>
      <c r="V38" s="165"/>
      <c r="W38" s="185"/>
    </row>
    <row r="39" spans="2:25">
      <c r="B39" s="3">
        <v>6</v>
      </c>
      <c r="C39" s="9">
        <f t="shared" si="4"/>
        <v>136.52000000000001</v>
      </c>
      <c r="D39" s="9">
        <f t="shared" si="5"/>
        <v>13.027692307692314</v>
      </c>
      <c r="E39" s="9">
        <f t="shared" ca="1" si="6"/>
        <v>20.036923076923081</v>
      </c>
      <c r="F39" s="9">
        <f t="shared" ca="1" si="0"/>
        <v>10.430000000000007</v>
      </c>
      <c r="G39" s="9">
        <f t="shared" ca="1" si="1"/>
        <v>39.139230769230778</v>
      </c>
      <c r="H39" s="62">
        <f ca="1">IF($U$33="enero",'Base cotización por meses'!C84,IF($U$33="febrero",'Base cotización por meses'!D84,IF($U$33="marzo",'Base cotización por meses'!E84,IF($U$33="abril",'Base cotización por meses'!F84,IF($U$33="mayo",'Base cotización por meses'!G84,IF($U$33="junio",'Base cotización por meses'!H84,IF($U$33="julio",'Base cotización por meses'!I84,IF($U$33="agosto",'Base cotización por meses'!J84,IF($U$33="septiembre",'Base cotización por meses'!K84,IF($U$33="octubre",'Base cotización por meses'!L84,IF($U$33="noviembre",'Base cotización por meses'!M84,IF($U$33="diciembre",'Base cotización por meses'!N84,IF($U$33="media",'Base cotización por meses'!H39)))))))))))))*$U$36</f>
        <v>51.720307692307699</v>
      </c>
      <c r="I39" s="62">
        <f ca="1">IF($U$33="enero",'Base cotización por meses'!C84,IF($U$33="febrero",'Base cotización por meses'!D84,IF($U$33="marzo",'Base cotización por meses'!E84,IF($U$33="abril",'Base cotización por meses'!F84,IF($U$33="mayo",'Base cotización por meses'!G84,IF($U$33="junio",'Base cotización por meses'!H84,IF($U$33="julio",'Base cotización por meses'!I84,IF($U$33="agosto",'Base cotización por meses'!J84,IF($U$33="septiembre",'Base cotización por meses'!K84,IF($U$33="octubre",'Base cotización por meses'!L84,IF($U$33="noviembre",'Base cotización por meses'!M84,IF($U$33="diciembre",'Base cotización por meses'!N84,IF($U$33="media",'Base cotización por meses'!H39)))))))))))))*$U$51</f>
        <v>1.6436538461538464</v>
      </c>
      <c r="J39" s="62">
        <f ca="1">IF($U$33="enero",'Base cotización por meses'!C84,IF($U$33="febrero",'Base cotización por meses'!D84,IF($U$33="marzo",'Base cotización por meses'!E84,IF($U$33="abril",'Base cotización por meses'!F84,IF($U$33="mayo",'Base cotización por meses'!G84,IF($U$33="junio",'Base cotización por meses'!H84,IF($U$33="julio",'Base cotización por meses'!I84,IF($U$33="agosto",'Base cotización por meses'!J84,IF($U$33="septiembre",'Base cotización por meses'!K84,IF($U$33="octubre",'Base cotización por meses'!L84,IF($U$33="noviembre",'Base cotización por meses'!M84,IF($U$33="diciembre",'Base cotización por meses'!N84,IF($U$33="media",'Base cotización por meses'!H39)))))))))))))*$U$39</f>
        <v>7.8895384615384625</v>
      </c>
      <c r="K39" s="62">
        <f ca="1">IF($U$33="enero",'Base cotización por meses'!C84,IF($U$33="febrero",'Base cotización por meses'!D84,IF($U$33="marzo",'Base cotización por meses'!E84,IF($U$33="abril",'Base cotización por meses'!F84,IF($U$33="mayo",'Base cotización por meses'!G84,IF($U$33="junio",'Base cotización por meses'!H84,IF($U$33="julio",'Base cotización por meses'!I84,IF($U$33="agosto",'Base cotización por meses'!J84,IF($U$33="septiembre",'Base cotización por meses'!K84,IF($U$33="octubre",'Base cotización por meses'!L84,IF($U$33="noviembre",'Base cotización por meses'!M84,IF($U$33="diciembre",'Base cotización por meses'!N84,IF($U$33="media",'Base cotización por meses'!H39)))))))))))))*$U$42</f>
        <v>12.053461538461541</v>
      </c>
      <c r="L39" s="62">
        <f ca="1">IF($U$33="enero",'Base cotización por meses'!C84,IF($U$33="febrero",'Base cotización por meses'!D84,IF($U$33="marzo",'Base cotización por meses'!E84,IF($U$33="abril",'Base cotización por meses'!F84,IF($U$33="mayo",'Base cotización por meses'!G84,IF($U$33="junio",'Base cotización por meses'!H84,IF($U$33="julio",'Base cotización por meses'!I84,IF($U$33="agosto",'Base cotización por meses'!J84,IF($U$33="septiembre",'Base cotización por meses'!K84,IF($U$33="octubre",'Base cotización por meses'!L84,IF($U$33="noviembre",'Base cotización por meses'!M84,IF($U$33="diciembre",'Base cotización por meses'!N84,IF($U$33="media",'Base cotización por meses'!H39)))))))))))))*$U$45</f>
        <v>1.3149230769230771</v>
      </c>
      <c r="M39" s="62">
        <f ca="1">IF($U$33="enero",'Base cotización por meses'!C84,IF($U$33="febrero",'Base cotización por meses'!D84,IF($U$33="marzo",'Base cotización por meses'!E84,IF($U$33="abril",'Base cotización por meses'!F84,IF($U$33="mayo",'Base cotización por meses'!G84,IF($U$33="junio",'Base cotización por meses'!H84,IF($U$33="julio",'Base cotización por meses'!I84,IF($U$33="agosto",'Base cotización por meses'!J84,IF($U$33="septiembre",'Base cotización por meses'!K84,IF($U$33="octubre",'Base cotización por meses'!L84,IF($U$33="noviembre",'Base cotización por meses'!M84,IF($U$33="diciembre",'Base cotización por meses'!N84,IF($U$33="media",'Base cotización por meses'!H39)))))))))))))*$U$48</f>
        <v>0.4383076923076924</v>
      </c>
      <c r="N39" s="79">
        <f ca="1">IF($U$33="enero",'Base cotización por meses'!C84,IF($U$33="febrero",'Base cotización por meses'!D84,IF($U$33="marzo",'Base cotización por meses'!E84,IF($U$33="abril",'Base cotización por meses'!F84,IF($U$33="mayo",'Base cotización por meses'!G84,IF($U$33="junio",'Base cotización por meses'!H84,IF($U$33="julio",'Base cotización por meses'!I84,IF($U$33="agosto",'Base cotización por meses'!J84,IF($U$33="septiembre",'Base cotización por meses'!K84,IF($U$33="octubre",'Base cotización por meses'!L84,IF($U$33="noviembre",'Base cotización por meses'!M84,IF($U$33="diciembre",'Base cotización por meses'!N84,IF($U$33="media",'Base cotización por meses'!H39)))))))))))))*$U$56</f>
        <v>10.300230769230771</v>
      </c>
      <c r="O39" s="74">
        <f ca="1">IF($U$33="enero",'Base cotización por meses'!C84,IF($U$33="febrero",'Base cotización por meses'!D84,IF($U$33="marzo",'Base cotización por meses'!E84,IF($U$33="abril",'Base cotización por meses'!F84,IF($U$33="mayo",'Base cotización por meses'!G84,IF($U$33="junio",'Base cotización por meses'!H84,IF($U$33="julio",'Base cotización por meses'!I84,IF($U$33="agosto",'Base cotización por meses'!J84,IF($U$33="septiembre",'Base cotización por meses'!K84,IF($U$33="octubre",'Base cotización por meses'!L84,IF($U$33="noviembre",'Base cotización por meses'!M84,IF($U$33="diciembre",'Base cotización por meses'!N84,IF($U$33="media",'Base cotización por meses'!H39)))))))))))))*$U$65</f>
        <v>0.32873076923076927</v>
      </c>
      <c r="P39" s="74">
        <f ca="1">IF($U$33="enero",'Base cotización por meses'!C84,IF($U$33="febrero",'Base cotización por meses'!D84,IF($U$33="marzo",'Base cotización por meses'!E84,IF($U$33="abril",'Base cotización por meses'!F84,IF($U$33="mayo",'Base cotización por meses'!G84,IF($U$33="junio",'Base cotización por meses'!H84,IF($U$33="julio",'Base cotización por meses'!I84,IF($U$33="agosto",'Base cotización por meses'!J84,IF($U$33="septiembre",'Base cotización por meses'!K84,IF($U$33="octubre",'Base cotización por meses'!L84,IF($U$33="noviembre",'Base cotización por meses'!M84,IF($U$33="diciembre",'Base cotización por meses'!N84,IF($U$33="media",'Base cotización por meses'!H39)))))))))))))*$U$59</f>
        <v>0.2191538461538462</v>
      </c>
      <c r="Q39" s="74">
        <f ca="1">IF($U$33="enero",'Base cotización por meses'!C84,IF($U$33="febrero",'Base cotización por meses'!D84,IF($U$33="marzo",'Base cotización por meses'!E84,IF($U$33="abril",'Base cotización por meses'!F84,IF($U$33="mayo",'Base cotización por meses'!G84,IF($U$33="junio",'Base cotización por meses'!H84,IF($U$33="julio",'Base cotización por meses'!I84,IF($U$33="agosto",'Base cotización por meses'!J84,IF($U$33="septiembre",'Base cotización por meses'!K84,IF($U$33="octubre",'Base cotización por meses'!L84,IF($U$33="noviembre",'Base cotización por meses'!M84,IF($U$33="diciembre",'Base cotización por meses'!N84,IF($U$33="media",'Base cotización por meses'!H39)))))))))))))*$U$62</f>
        <v>3.3968846153846157</v>
      </c>
      <c r="R39" s="82">
        <f t="shared" ca="1" si="2"/>
        <v>294.21403846153851</v>
      </c>
      <c r="S39" s="86">
        <f t="shared" ca="1" si="3"/>
        <v>204.90884615384618</v>
      </c>
      <c r="U39" s="189">
        <v>3.5999999999999997E-2</v>
      </c>
      <c r="V39" s="187"/>
      <c r="W39" s="188"/>
      <c r="X39" s="88" t="s">
        <v>70</v>
      </c>
    </row>
    <row r="40" spans="2:25" ht="16" customHeight="1" thickBot="1">
      <c r="B40" s="3">
        <v>5</v>
      </c>
      <c r="C40" s="9">
        <f t="shared" si="4"/>
        <v>113.76666666666668</v>
      </c>
      <c r="D40" s="9">
        <f t="shared" si="5"/>
        <v>10.856410256410262</v>
      </c>
      <c r="E40" s="9">
        <f t="shared" ca="1" si="6"/>
        <v>16.697435897435902</v>
      </c>
      <c r="F40" s="9">
        <f t="shared" ca="1" si="0"/>
        <v>8.6916666666666629</v>
      </c>
      <c r="G40" s="9">
        <f t="shared" ca="1" si="1"/>
        <v>32.616025641025644</v>
      </c>
      <c r="H40" s="62">
        <f ca="1">IF($U$33="enero",'Base cotización por meses'!C85,IF($U$33="febrero",'Base cotización por meses'!D85,IF($U$33="marzo",'Base cotización por meses'!E85,IF($U$33="abril",'Base cotización por meses'!F85,IF($U$33="mayo",'Base cotización por meses'!G85,IF($U$33="junio",'Base cotización por meses'!H85,IF($U$33="julio",'Base cotización por meses'!I85,IF($U$33="agosto",'Base cotización por meses'!J85,IF($U$33="septiembre",'Base cotización por meses'!K85,IF($U$33="octubre",'Base cotización por meses'!L85,IF($U$33="noviembre",'Base cotización por meses'!M85,IF($U$33="diciembre",'Base cotización por meses'!N85,IF($U$33="media",'Base cotización por meses'!H40)))))))))))))*$U$36</f>
        <v>43.100256410256414</v>
      </c>
      <c r="I40" s="62">
        <f ca="1">IF($U$33="enero",'Base cotización por meses'!C85,IF($U$33="febrero",'Base cotización por meses'!D85,IF($U$33="marzo",'Base cotización por meses'!E85,IF($U$33="abril",'Base cotización por meses'!F85,IF($U$33="mayo",'Base cotización por meses'!G85,IF($U$33="junio",'Base cotización por meses'!H85,IF($U$33="julio",'Base cotización por meses'!I85,IF($U$33="agosto",'Base cotización por meses'!J85,IF($U$33="septiembre",'Base cotización por meses'!K85,IF($U$33="octubre",'Base cotización por meses'!L85,IF($U$33="noviembre",'Base cotización por meses'!M85,IF($U$33="diciembre",'Base cotización por meses'!N85,IF($U$33="media",'Base cotización por meses'!H40)))))))))))))*$U$51</f>
        <v>1.3697115384615386</v>
      </c>
      <c r="J40" s="62">
        <f ca="1">IF($U$33="enero",'Base cotización por meses'!C85,IF($U$33="febrero",'Base cotización por meses'!D85,IF($U$33="marzo",'Base cotización por meses'!E85,IF($U$33="abril",'Base cotización por meses'!F85,IF($U$33="mayo",'Base cotización por meses'!G85,IF($U$33="junio",'Base cotización por meses'!H85,IF($U$33="julio",'Base cotización por meses'!I85,IF($U$33="agosto",'Base cotización por meses'!J85,IF($U$33="septiembre",'Base cotización por meses'!K85,IF($U$33="octubre",'Base cotización por meses'!L85,IF($U$33="noviembre",'Base cotización por meses'!M85,IF($U$33="diciembre",'Base cotización por meses'!N85,IF($U$33="media",'Base cotización por meses'!H40)))))))))))))*$U$39</f>
        <v>6.5746153846153845</v>
      </c>
      <c r="K40" s="62">
        <f ca="1">IF($U$33="enero",'Base cotización por meses'!C85,IF($U$33="febrero",'Base cotización por meses'!D85,IF($U$33="marzo",'Base cotización por meses'!E85,IF($U$33="abril",'Base cotización por meses'!F85,IF($U$33="mayo",'Base cotización por meses'!G85,IF($U$33="junio",'Base cotización por meses'!H85,IF($U$33="julio",'Base cotización por meses'!I85,IF($U$33="agosto",'Base cotización por meses'!J85,IF($U$33="septiembre",'Base cotización por meses'!K85,IF($U$33="octubre",'Base cotización por meses'!L85,IF($U$33="noviembre",'Base cotización por meses'!M85,IF($U$33="diciembre",'Base cotización por meses'!N85,IF($U$33="media",'Base cotización por meses'!H40)))))))))))))*$U$42</f>
        <v>10.044551282051282</v>
      </c>
      <c r="L40" s="62">
        <f ca="1">IF($U$33="enero",'Base cotización por meses'!C85,IF($U$33="febrero",'Base cotización por meses'!D85,IF($U$33="marzo",'Base cotización por meses'!E85,IF($U$33="abril",'Base cotización por meses'!F85,IF($U$33="mayo",'Base cotización por meses'!G85,IF($U$33="junio",'Base cotización por meses'!H85,IF($U$33="julio",'Base cotización por meses'!I85,IF($U$33="agosto",'Base cotización por meses'!J85,IF($U$33="septiembre",'Base cotización por meses'!K85,IF($U$33="octubre",'Base cotización por meses'!L85,IF($U$33="noviembre",'Base cotización por meses'!M85,IF($U$33="diciembre",'Base cotización por meses'!N85,IF($U$33="media",'Base cotización por meses'!H40)))))))))))))*$U$45</f>
        <v>1.0957692307692308</v>
      </c>
      <c r="M40" s="62">
        <f ca="1">IF($U$33="enero",'Base cotización por meses'!C85,IF($U$33="febrero",'Base cotización por meses'!D85,IF($U$33="marzo",'Base cotización por meses'!E85,IF($U$33="abril",'Base cotización por meses'!F85,IF($U$33="mayo",'Base cotización por meses'!G85,IF($U$33="junio",'Base cotización por meses'!H85,IF($U$33="julio",'Base cotización por meses'!I85,IF($U$33="agosto",'Base cotización por meses'!J85,IF($U$33="septiembre",'Base cotización por meses'!K85,IF($U$33="octubre",'Base cotización por meses'!L85,IF($U$33="noviembre",'Base cotización por meses'!M85,IF($U$33="diciembre",'Base cotización por meses'!N85,IF($U$33="media",'Base cotización por meses'!H40)))))))))))))*$U$48</f>
        <v>0.36525641025641026</v>
      </c>
      <c r="N40" s="79">
        <f ca="1">IF($U$33="enero",'Base cotización por meses'!C85,IF($U$33="febrero",'Base cotización por meses'!D85,IF($U$33="marzo",'Base cotización por meses'!E85,IF($U$33="abril",'Base cotización por meses'!F85,IF($U$33="mayo",'Base cotización por meses'!G85,IF($U$33="junio",'Base cotización por meses'!H85,IF($U$33="julio",'Base cotización por meses'!I85,IF($U$33="agosto",'Base cotización por meses'!J85,IF($U$33="septiembre",'Base cotización por meses'!K85,IF($U$33="octubre",'Base cotización por meses'!L85,IF($U$33="noviembre",'Base cotización por meses'!M85,IF($U$33="diciembre",'Base cotización por meses'!N85,IF($U$33="media",'Base cotización por meses'!H40)))))))))))))*$U$56</f>
        <v>8.5835256410256413</v>
      </c>
      <c r="O40" s="74">
        <f ca="1">IF($U$33="enero",'Base cotización por meses'!C85,IF($U$33="febrero",'Base cotización por meses'!D85,IF($U$33="marzo",'Base cotización por meses'!E85,IF($U$33="abril",'Base cotización por meses'!F85,IF($U$33="mayo",'Base cotización por meses'!G85,IF($U$33="junio",'Base cotización por meses'!H85,IF($U$33="julio",'Base cotización por meses'!I85,IF($U$33="agosto",'Base cotización por meses'!J85,IF($U$33="septiembre",'Base cotización por meses'!K85,IF($U$33="octubre",'Base cotización por meses'!L85,IF($U$33="noviembre",'Base cotización por meses'!M85,IF($U$33="diciembre",'Base cotización por meses'!N85,IF($U$33="media",'Base cotización por meses'!H40)))))))))))))*$U$65</f>
        <v>0.27394230769230771</v>
      </c>
      <c r="P40" s="74">
        <f ca="1">IF($U$33="enero",'Base cotización por meses'!C85,IF($U$33="febrero",'Base cotización por meses'!D85,IF($U$33="marzo",'Base cotización por meses'!E85,IF($U$33="abril",'Base cotización por meses'!F85,IF($U$33="mayo",'Base cotización por meses'!G85,IF($U$33="junio",'Base cotización por meses'!H85,IF($U$33="julio",'Base cotización por meses'!I85,IF($U$33="agosto",'Base cotización por meses'!J85,IF($U$33="septiembre",'Base cotización por meses'!K85,IF($U$33="octubre",'Base cotización por meses'!L85,IF($U$33="noviembre",'Base cotización por meses'!M85,IF($U$33="diciembre",'Base cotización por meses'!N85,IF($U$33="media",'Base cotización por meses'!H40)))))))))))))*$U$59</f>
        <v>0.18262820512820513</v>
      </c>
      <c r="Q40" s="74">
        <f ca="1">IF($U$33="enero",'Base cotización por meses'!C85,IF($U$33="febrero",'Base cotización por meses'!D85,IF($U$33="marzo",'Base cotización por meses'!E85,IF($U$33="abril",'Base cotización por meses'!F85,IF($U$33="mayo",'Base cotización por meses'!G85,IF($U$33="junio",'Base cotización por meses'!H85,IF($U$33="julio",'Base cotización por meses'!I85,IF($U$33="agosto",'Base cotización por meses'!J85,IF($U$33="septiembre",'Base cotización por meses'!K85,IF($U$33="octubre",'Base cotización por meses'!L85,IF($U$33="noviembre",'Base cotización por meses'!M85,IF($U$33="diciembre",'Base cotización por meses'!N85,IF($U$33="media",'Base cotización por meses'!H40)))))))))))))*$U$62</f>
        <v>2.8307371794871798</v>
      </c>
      <c r="R40" s="82">
        <f t="shared" ca="1" si="2"/>
        <v>245.1783653846154</v>
      </c>
      <c r="S40" s="86">
        <f t="shared" ca="1" si="3"/>
        <v>170.7573717948718</v>
      </c>
      <c r="T40" s="10"/>
    </row>
    <row r="41" spans="2:25" ht="16" customHeight="1" thickBot="1">
      <c r="B41" s="3">
        <v>4</v>
      </c>
      <c r="C41" s="9">
        <f t="shared" si="4"/>
        <v>91.01333333333335</v>
      </c>
      <c r="D41" s="9">
        <f t="shared" si="5"/>
        <v>8.6851282051282102</v>
      </c>
      <c r="E41" s="9">
        <f t="shared" ca="1" si="6"/>
        <v>13.357948717948723</v>
      </c>
      <c r="F41" s="9">
        <f t="shared" ca="1" si="0"/>
        <v>6.9533333333333189</v>
      </c>
      <c r="G41" s="9">
        <f t="shared" ca="1" si="1"/>
        <v>26.092820512820516</v>
      </c>
      <c r="H41" s="62">
        <f ca="1">IF($U$33="enero",'Base cotización por meses'!C86,IF($U$33="febrero",'Base cotización por meses'!D86,IF($U$33="marzo",'Base cotización por meses'!E86,IF($U$33="abril",'Base cotización por meses'!F86,IF($U$33="mayo",'Base cotización por meses'!G86,IF($U$33="junio",'Base cotización por meses'!H86,IF($U$33="julio",'Base cotización por meses'!I86,IF($U$33="agosto",'Base cotización por meses'!J86,IF($U$33="septiembre",'Base cotización por meses'!K86,IF($U$33="octubre",'Base cotización por meses'!L86,IF($U$33="noviembre",'Base cotización por meses'!M86,IF($U$33="diciembre",'Base cotización por meses'!N86,IF($U$33="media",'Base cotización por meses'!H41)))))))))))))*$U$36</f>
        <v>34.480205128205128</v>
      </c>
      <c r="I41" s="62">
        <f ca="1">IF($U$33="enero",'Base cotización por meses'!C86,IF($U$33="febrero",'Base cotización por meses'!D86,IF($U$33="marzo",'Base cotización por meses'!E86,IF($U$33="abril",'Base cotización por meses'!F86,IF($U$33="mayo",'Base cotización por meses'!G86,IF($U$33="junio",'Base cotización por meses'!H86,IF($U$33="julio",'Base cotización por meses'!I86,IF($U$33="agosto",'Base cotización por meses'!J86,IF($U$33="septiembre",'Base cotización por meses'!K86,IF($U$33="octubre",'Base cotización por meses'!L86,IF($U$33="noviembre",'Base cotización por meses'!M86,IF($U$33="diciembre",'Base cotización por meses'!N86,IF($U$33="media",'Base cotización por meses'!H41)))))))))))))*$U$51</f>
        <v>1.0957692307692308</v>
      </c>
      <c r="J41" s="62">
        <f ca="1">IF($U$33="enero",'Base cotización por meses'!C86,IF($U$33="febrero",'Base cotización por meses'!D86,IF($U$33="marzo",'Base cotización por meses'!E86,IF($U$33="abril",'Base cotización por meses'!F86,IF($U$33="mayo",'Base cotización por meses'!G86,IF($U$33="junio",'Base cotización por meses'!H86,IF($U$33="julio",'Base cotización por meses'!I86,IF($U$33="agosto",'Base cotización por meses'!J86,IF($U$33="septiembre",'Base cotización por meses'!K86,IF($U$33="octubre",'Base cotización por meses'!L86,IF($U$33="noviembre",'Base cotización por meses'!M86,IF($U$33="diciembre",'Base cotización por meses'!N86,IF($U$33="media",'Base cotización por meses'!H41)))))))))))))*$U$39</f>
        <v>5.2596923076923074</v>
      </c>
      <c r="K41" s="62">
        <f ca="1">IF($U$33="enero",'Base cotización por meses'!C86,IF($U$33="febrero",'Base cotización por meses'!D86,IF($U$33="marzo",'Base cotización por meses'!E86,IF($U$33="abril",'Base cotización por meses'!F86,IF($U$33="mayo",'Base cotización por meses'!G86,IF($U$33="junio",'Base cotización por meses'!H86,IF($U$33="julio",'Base cotización por meses'!I86,IF($U$33="agosto",'Base cotización por meses'!J86,IF($U$33="septiembre",'Base cotización por meses'!K86,IF($U$33="octubre",'Base cotización por meses'!L86,IF($U$33="noviembre",'Base cotización por meses'!M86,IF($U$33="diciembre",'Base cotización por meses'!N86,IF($U$33="media",'Base cotización por meses'!H41)))))))))))))*$U$42</f>
        <v>8.0356410256410271</v>
      </c>
      <c r="L41" s="62">
        <f ca="1">IF($U$33="enero",'Base cotización por meses'!C86,IF($U$33="febrero",'Base cotización por meses'!D86,IF($U$33="marzo",'Base cotización por meses'!E86,IF($U$33="abril",'Base cotización por meses'!F86,IF($U$33="mayo",'Base cotización por meses'!G86,IF($U$33="junio",'Base cotización por meses'!H86,IF($U$33="julio",'Base cotización por meses'!I86,IF($U$33="agosto",'Base cotización por meses'!J86,IF($U$33="septiembre",'Base cotización por meses'!K86,IF($U$33="octubre",'Base cotización por meses'!L86,IF($U$33="noviembre",'Base cotización por meses'!M86,IF($U$33="diciembre",'Base cotización por meses'!N86,IF($U$33="media",'Base cotización por meses'!H41)))))))))))))*$U$45</f>
        <v>0.87661538461538469</v>
      </c>
      <c r="M41" s="62">
        <f ca="1">IF($U$33="enero",'Base cotización por meses'!C86,IF($U$33="febrero",'Base cotización por meses'!D86,IF($U$33="marzo",'Base cotización por meses'!E86,IF($U$33="abril",'Base cotización por meses'!F86,IF($U$33="mayo",'Base cotización por meses'!G86,IF($U$33="junio",'Base cotización por meses'!H86,IF($U$33="julio",'Base cotización por meses'!I86,IF($U$33="agosto",'Base cotización por meses'!J86,IF($U$33="septiembre",'Base cotización por meses'!K86,IF($U$33="octubre",'Base cotización por meses'!L86,IF($U$33="noviembre",'Base cotización por meses'!M86,IF($U$33="diciembre",'Base cotización por meses'!N86,IF($U$33="media",'Base cotización por meses'!H41)))))))))))))*$U$48</f>
        <v>0.29220512820512823</v>
      </c>
      <c r="N41" s="79">
        <f ca="1">IF($U$33="enero",'Base cotización por meses'!C86,IF($U$33="febrero",'Base cotización por meses'!D86,IF($U$33="marzo",'Base cotización por meses'!E86,IF($U$33="abril",'Base cotización por meses'!F86,IF($U$33="mayo",'Base cotización por meses'!G86,IF($U$33="junio",'Base cotización por meses'!H86,IF($U$33="julio",'Base cotización por meses'!I86,IF($U$33="agosto",'Base cotización por meses'!J86,IF($U$33="septiembre",'Base cotización por meses'!K86,IF($U$33="octubre",'Base cotización por meses'!L86,IF($U$33="noviembre",'Base cotización por meses'!M86,IF($U$33="diciembre",'Base cotización por meses'!N86,IF($U$33="media",'Base cotización por meses'!H41)))))))))))))*$U$56</f>
        <v>6.8668205128205138</v>
      </c>
      <c r="O41" s="74">
        <f ca="1">IF($U$33="enero",'Base cotización por meses'!C86,IF($U$33="febrero",'Base cotización por meses'!D86,IF($U$33="marzo",'Base cotización por meses'!E86,IF($U$33="abril",'Base cotización por meses'!F86,IF($U$33="mayo",'Base cotización por meses'!G86,IF($U$33="junio",'Base cotización por meses'!H86,IF($U$33="julio",'Base cotización por meses'!I86,IF($U$33="agosto",'Base cotización por meses'!J86,IF($U$33="septiembre",'Base cotización por meses'!K86,IF($U$33="octubre",'Base cotización por meses'!L86,IF($U$33="noviembre",'Base cotización por meses'!M86,IF($U$33="diciembre",'Base cotización por meses'!N86,IF($U$33="media",'Base cotización por meses'!H41)))))))))))))*$U$65</f>
        <v>0.21915384615384617</v>
      </c>
      <c r="P41" s="74">
        <f ca="1">IF($U$33="enero",'Base cotización por meses'!C86,IF($U$33="febrero",'Base cotización por meses'!D86,IF($U$33="marzo",'Base cotización por meses'!E86,IF($U$33="abril",'Base cotización por meses'!F86,IF($U$33="mayo",'Base cotización por meses'!G86,IF($U$33="junio",'Base cotización por meses'!H86,IF($U$33="julio",'Base cotización por meses'!I86,IF($U$33="agosto",'Base cotización por meses'!J86,IF($U$33="septiembre",'Base cotización por meses'!K86,IF($U$33="octubre",'Base cotización por meses'!L86,IF($U$33="noviembre",'Base cotización por meses'!M86,IF($U$33="diciembre",'Base cotización por meses'!N86,IF($U$33="media",'Base cotización por meses'!H41)))))))))))))*$U$59</f>
        <v>0.14610256410256411</v>
      </c>
      <c r="Q41" s="74">
        <f ca="1">IF($U$33="enero",'Base cotización por meses'!C86,IF($U$33="febrero",'Base cotización por meses'!D86,IF($U$33="marzo",'Base cotización por meses'!E86,IF($U$33="abril",'Base cotización por meses'!F86,IF($U$33="mayo",'Base cotización por meses'!G86,IF($U$33="junio",'Base cotización por meses'!H86,IF($U$33="julio",'Base cotización por meses'!I86,IF($U$33="agosto",'Base cotización por meses'!J86,IF($U$33="septiembre",'Base cotización por meses'!K86,IF($U$33="octubre",'Base cotización por meses'!L86,IF($U$33="noviembre",'Base cotización por meses'!M86,IF($U$33="diciembre",'Base cotización por meses'!N86,IF($U$33="media",'Base cotización por meses'!H41)))))))))))))*$U$62</f>
        <v>2.264589743589744</v>
      </c>
      <c r="R41" s="82">
        <f t="shared" ca="1" si="2"/>
        <v>196.14269230769236</v>
      </c>
      <c r="S41" s="86">
        <f t="shared" ca="1" si="3"/>
        <v>136.60589743589745</v>
      </c>
      <c r="T41" s="10"/>
      <c r="U41" s="190" t="s">
        <v>72</v>
      </c>
      <c r="V41" s="165"/>
      <c r="W41" s="185"/>
    </row>
    <row r="42" spans="2:25">
      <c r="B42" s="3">
        <v>3</v>
      </c>
      <c r="C42" s="9">
        <f t="shared" si="4"/>
        <v>68.260000000000019</v>
      </c>
      <c r="D42" s="9">
        <f t="shared" si="5"/>
        <v>6.5138461538461581</v>
      </c>
      <c r="E42" s="9">
        <f t="shared" ca="1" si="6"/>
        <v>10.018461538461542</v>
      </c>
      <c r="F42" s="9">
        <f t="shared" ca="1" si="0"/>
        <v>5.2149999999999892</v>
      </c>
      <c r="G42" s="9">
        <f t="shared" ca="1" si="1"/>
        <v>19.569615384615389</v>
      </c>
      <c r="H42" s="62">
        <f ca="1">IF($U$33="enero",'Base cotización por meses'!C87,IF($U$33="febrero",'Base cotización por meses'!D87,IF($U$33="marzo",'Base cotización por meses'!E87,IF($U$33="abril",'Base cotización por meses'!F87,IF($U$33="mayo",'Base cotización por meses'!G87,IF($U$33="junio",'Base cotización por meses'!H87,IF($U$33="julio",'Base cotización por meses'!I87,IF($U$33="agosto",'Base cotización por meses'!J87,IF($U$33="septiembre",'Base cotización por meses'!K87,IF($U$33="octubre",'Base cotización por meses'!L87,IF($U$33="noviembre",'Base cotización por meses'!M87,IF($U$33="diciembre",'Base cotización por meses'!N87,IF($U$33="media",'Base cotización por meses'!H42)))))))))))))*$U$36</f>
        <v>25.86015384615385</v>
      </c>
      <c r="I42" s="62">
        <f ca="1">IF($U$33="enero",'Base cotización por meses'!C87,IF($U$33="febrero",'Base cotización por meses'!D87,IF($U$33="marzo",'Base cotización por meses'!E87,IF($U$33="abril",'Base cotización por meses'!F87,IF($U$33="mayo",'Base cotización por meses'!G87,IF($U$33="junio",'Base cotización por meses'!H87,IF($U$33="julio",'Base cotización por meses'!I87,IF($U$33="agosto",'Base cotización por meses'!J87,IF($U$33="septiembre",'Base cotización por meses'!K87,IF($U$33="octubre",'Base cotización por meses'!L87,IF($U$33="noviembre",'Base cotización por meses'!M87,IF($U$33="diciembre",'Base cotización por meses'!N87,IF($U$33="media",'Base cotización por meses'!H42)))))))))))))*$U$51</f>
        <v>0.82182692307692318</v>
      </c>
      <c r="J42" s="62">
        <f ca="1">IF($U$33="enero",'Base cotización por meses'!C87,IF($U$33="febrero",'Base cotización por meses'!D87,IF($U$33="marzo",'Base cotización por meses'!E87,IF($U$33="abril",'Base cotización por meses'!F87,IF($U$33="mayo",'Base cotización por meses'!G87,IF($U$33="junio",'Base cotización por meses'!H87,IF($U$33="julio",'Base cotización por meses'!I87,IF($U$33="agosto",'Base cotización por meses'!J87,IF($U$33="septiembre",'Base cotización por meses'!K87,IF($U$33="octubre",'Base cotización por meses'!L87,IF($U$33="noviembre",'Base cotización por meses'!M87,IF($U$33="diciembre",'Base cotización por meses'!N87,IF($U$33="media",'Base cotización por meses'!H42)))))))))))))*$U$39</f>
        <v>3.9447692307692312</v>
      </c>
      <c r="K42" s="62">
        <f ca="1">IF($U$33="enero",'Base cotización por meses'!C87,IF($U$33="febrero",'Base cotización por meses'!D87,IF($U$33="marzo",'Base cotización por meses'!E87,IF($U$33="abril",'Base cotización por meses'!F87,IF($U$33="mayo",'Base cotización por meses'!G87,IF($U$33="junio",'Base cotización por meses'!H87,IF($U$33="julio",'Base cotización por meses'!I87,IF($U$33="agosto",'Base cotización por meses'!J87,IF($U$33="septiembre",'Base cotización por meses'!K87,IF($U$33="octubre",'Base cotización por meses'!L87,IF($U$33="noviembre",'Base cotización por meses'!M87,IF($U$33="diciembre",'Base cotización por meses'!N87,IF($U$33="media",'Base cotización por meses'!H42)))))))))))))*$U$42</f>
        <v>6.0267307692307703</v>
      </c>
      <c r="L42" s="62">
        <f ca="1">IF($U$33="enero",'Base cotización por meses'!C87,IF($U$33="febrero",'Base cotización por meses'!D87,IF($U$33="marzo",'Base cotización por meses'!E87,IF($U$33="abril",'Base cotización por meses'!F87,IF($U$33="mayo",'Base cotización por meses'!G87,IF($U$33="junio",'Base cotización por meses'!H87,IF($U$33="julio",'Base cotización por meses'!I87,IF($U$33="agosto",'Base cotización por meses'!J87,IF($U$33="septiembre",'Base cotización por meses'!K87,IF($U$33="octubre",'Base cotización por meses'!L87,IF($U$33="noviembre",'Base cotización por meses'!M87,IF($U$33="diciembre",'Base cotización por meses'!N87,IF($U$33="media",'Base cotización por meses'!H42)))))))))))))*$U$45</f>
        <v>0.65746153846153854</v>
      </c>
      <c r="M42" s="62">
        <f ca="1">IF($U$33="enero",'Base cotización por meses'!C87,IF($U$33="febrero",'Base cotización por meses'!D87,IF($U$33="marzo",'Base cotización por meses'!E87,IF($U$33="abril",'Base cotización por meses'!F87,IF($U$33="mayo",'Base cotización por meses'!G87,IF($U$33="junio",'Base cotización por meses'!H87,IF($U$33="julio",'Base cotización por meses'!I87,IF($U$33="agosto",'Base cotización por meses'!J87,IF($U$33="septiembre",'Base cotización por meses'!K87,IF($U$33="octubre",'Base cotización por meses'!L87,IF($U$33="noviembre",'Base cotización por meses'!M87,IF($U$33="diciembre",'Base cotización por meses'!N87,IF($U$33="media",'Base cotización por meses'!H42)))))))))))))*$U$48</f>
        <v>0.2191538461538462</v>
      </c>
      <c r="N42" s="79">
        <f ca="1">IF($U$33="enero",'Base cotización por meses'!C87,IF($U$33="febrero",'Base cotización por meses'!D87,IF($U$33="marzo",'Base cotización por meses'!E87,IF($U$33="abril",'Base cotización por meses'!F87,IF($U$33="mayo",'Base cotización por meses'!G87,IF($U$33="junio",'Base cotización por meses'!H87,IF($U$33="julio",'Base cotización por meses'!I87,IF($U$33="agosto",'Base cotización por meses'!J87,IF($U$33="septiembre",'Base cotización por meses'!K87,IF($U$33="octubre",'Base cotización por meses'!L87,IF($U$33="noviembre",'Base cotización por meses'!M87,IF($U$33="diciembre",'Base cotización por meses'!N87,IF($U$33="media",'Base cotización por meses'!H42)))))))))))))*$U$56</f>
        <v>5.1501153846153853</v>
      </c>
      <c r="O42" s="74">
        <f ca="1">IF($U$33="enero",'Base cotización por meses'!C87,IF($U$33="febrero",'Base cotización por meses'!D87,IF($U$33="marzo",'Base cotización por meses'!E87,IF($U$33="abril",'Base cotización por meses'!F87,IF($U$33="mayo",'Base cotización por meses'!G87,IF($U$33="junio",'Base cotización por meses'!H87,IF($U$33="julio",'Base cotización por meses'!I87,IF($U$33="agosto",'Base cotización por meses'!J87,IF($U$33="septiembre",'Base cotización por meses'!K87,IF($U$33="octubre",'Base cotización por meses'!L87,IF($U$33="noviembre",'Base cotización por meses'!M87,IF($U$33="diciembre",'Base cotización por meses'!N87,IF($U$33="media",'Base cotización por meses'!H42)))))))))))))*$U$65</f>
        <v>0.16436538461538464</v>
      </c>
      <c r="P42" s="74">
        <f ca="1">IF($U$33="enero",'Base cotización por meses'!C87,IF($U$33="febrero",'Base cotización por meses'!D87,IF($U$33="marzo",'Base cotización por meses'!E87,IF($U$33="abril",'Base cotización por meses'!F87,IF($U$33="mayo",'Base cotización por meses'!G87,IF($U$33="junio",'Base cotización por meses'!H87,IF($U$33="julio",'Base cotización por meses'!I87,IF($U$33="agosto",'Base cotización por meses'!J87,IF($U$33="septiembre",'Base cotización por meses'!K87,IF($U$33="octubre",'Base cotización por meses'!L87,IF($U$33="noviembre",'Base cotización por meses'!M87,IF($U$33="diciembre",'Base cotización por meses'!N87,IF($U$33="media",'Base cotización por meses'!H42)))))))))))))*$U$59</f>
        <v>0.1095769230769231</v>
      </c>
      <c r="Q42" s="74">
        <f ca="1">IF($U$33="enero",'Base cotización por meses'!C87,IF($U$33="febrero",'Base cotización por meses'!D87,IF($U$33="marzo",'Base cotización por meses'!E87,IF($U$33="abril",'Base cotización por meses'!F87,IF($U$33="mayo",'Base cotización por meses'!G87,IF($U$33="junio",'Base cotización por meses'!H87,IF($U$33="julio",'Base cotización por meses'!I87,IF($U$33="agosto",'Base cotización por meses'!J87,IF($U$33="septiembre",'Base cotización por meses'!K87,IF($U$33="octubre",'Base cotización por meses'!L87,IF($U$33="noviembre",'Base cotización por meses'!M87,IF($U$33="diciembre",'Base cotización por meses'!N87,IF($U$33="media",'Base cotización por meses'!H42)))))))))))))*$U$62</f>
        <v>1.6984423076923079</v>
      </c>
      <c r="R42" s="82">
        <f t="shared" ca="1" si="2"/>
        <v>147.10701923076925</v>
      </c>
      <c r="S42" s="86">
        <f t="shared" ca="1" si="3"/>
        <v>102.45442307692309</v>
      </c>
      <c r="U42" s="189">
        <v>5.5E-2</v>
      </c>
      <c r="V42" s="187"/>
      <c r="W42" s="188"/>
      <c r="X42" s="88" t="s">
        <v>70</v>
      </c>
    </row>
    <row r="43" spans="2:25" ht="16" customHeight="1" thickBot="1">
      <c r="B43" s="3">
        <v>2</v>
      </c>
      <c r="C43" s="9">
        <f t="shared" si="4"/>
        <v>45.506666666666675</v>
      </c>
      <c r="D43" s="9">
        <f t="shared" si="5"/>
        <v>4.3425641025641051</v>
      </c>
      <c r="E43" s="9">
        <f t="shared" ca="1" si="6"/>
        <v>6.6789743589743615</v>
      </c>
      <c r="F43" s="9">
        <f t="shared" ca="1" si="0"/>
        <v>3.4766666666666595</v>
      </c>
      <c r="G43" s="9">
        <f t="shared" ca="1" si="1"/>
        <v>13.046410256410258</v>
      </c>
      <c r="H43" s="62">
        <f ca="1">IF($U$33="enero",'Base cotización por meses'!C88,IF($U$33="febrero",'Base cotización por meses'!D88,IF($U$33="marzo",'Base cotización por meses'!E88,IF($U$33="abril",'Base cotización por meses'!F88,IF($U$33="mayo",'Base cotización por meses'!G88,IF($U$33="junio",'Base cotización por meses'!H88,IF($U$33="julio",'Base cotización por meses'!I88,IF($U$33="agosto",'Base cotización por meses'!J88,IF($U$33="septiembre",'Base cotización por meses'!K88,IF($U$33="octubre",'Base cotización por meses'!L88,IF($U$33="noviembre",'Base cotización por meses'!M88,IF($U$33="diciembre",'Base cotización por meses'!N88,IF($U$33="media",'Base cotización por meses'!H43)))))))))))))*$U$36</f>
        <v>17.240102564102564</v>
      </c>
      <c r="I43" s="62">
        <f ca="1">IF($U$33="enero",'Base cotización por meses'!C88,IF($U$33="febrero",'Base cotización por meses'!D88,IF($U$33="marzo",'Base cotización por meses'!E88,IF($U$33="abril",'Base cotización por meses'!F88,IF($U$33="mayo",'Base cotización por meses'!G88,IF($U$33="junio",'Base cotización por meses'!H88,IF($U$33="julio",'Base cotización por meses'!I88,IF($U$33="agosto",'Base cotización por meses'!J88,IF($U$33="septiembre",'Base cotización por meses'!K88,IF($U$33="octubre",'Base cotización por meses'!L88,IF($U$33="noviembre",'Base cotización por meses'!M88,IF($U$33="diciembre",'Base cotización por meses'!N88,IF($U$33="media",'Base cotización por meses'!H43)))))))))))))*$U$51</f>
        <v>0.54788461538461541</v>
      </c>
      <c r="J43" s="62">
        <f ca="1">IF($U$33="enero",'Base cotización por meses'!C88,IF($U$33="febrero",'Base cotización por meses'!D88,IF($U$33="marzo",'Base cotización por meses'!E88,IF($U$33="abril",'Base cotización por meses'!F88,IF($U$33="mayo",'Base cotización por meses'!G88,IF($U$33="junio",'Base cotización por meses'!H88,IF($U$33="julio",'Base cotización por meses'!I88,IF($U$33="agosto",'Base cotización por meses'!J88,IF($U$33="septiembre",'Base cotización por meses'!K88,IF($U$33="octubre",'Base cotización por meses'!L88,IF($U$33="noviembre",'Base cotización por meses'!M88,IF($U$33="diciembre",'Base cotización por meses'!N88,IF($U$33="media",'Base cotización por meses'!H43)))))))))))))*$U$39</f>
        <v>2.6298461538461537</v>
      </c>
      <c r="K43" s="62">
        <f ca="1">IF($U$33="enero",'Base cotización por meses'!C88,IF($U$33="febrero",'Base cotización por meses'!D88,IF($U$33="marzo",'Base cotización por meses'!E88,IF($U$33="abril",'Base cotización por meses'!F88,IF($U$33="mayo",'Base cotización por meses'!G88,IF($U$33="junio",'Base cotización por meses'!H88,IF($U$33="julio",'Base cotización por meses'!I88,IF($U$33="agosto",'Base cotización por meses'!J88,IF($U$33="septiembre",'Base cotización por meses'!K88,IF($U$33="octubre",'Base cotización por meses'!L88,IF($U$33="noviembre",'Base cotización por meses'!M88,IF($U$33="diciembre",'Base cotización por meses'!N88,IF($U$33="media",'Base cotización por meses'!H43)))))))))))))*$U$42</f>
        <v>4.0178205128205136</v>
      </c>
      <c r="L43" s="62">
        <f ca="1">IF($U$33="enero",'Base cotización por meses'!C88,IF($U$33="febrero",'Base cotización por meses'!D88,IF($U$33="marzo",'Base cotización por meses'!E88,IF($U$33="abril",'Base cotización por meses'!F88,IF($U$33="mayo",'Base cotización por meses'!G88,IF($U$33="junio",'Base cotización por meses'!H88,IF($U$33="julio",'Base cotización por meses'!I88,IF($U$33="agosto",'Base cotización por meses'!J88,IF($U$33="septiembre",'Base cotización por meses'!K88,IF($U$33="octubre",'Base cotización por meses'!L88,IF($U$33="noviembre",'Base cotización por meses'!M88,IF($U$33="diciembre",'Base cotización por meses'!N88,IF($U$33="media",'Base cotización por meses'!H43)))))))))))))*$U$45</f>
        <v>0.43830769230769234</v>
      </c>
      <c r="M43" s="62">
        <f ca="1">IF($U$33="enero",'Base cotización por meses'!C88,IF($U$33="febrero",'Base cotización por meses'!D88,IF($U$33="marzo",'Base cotización por meses'!E88,IF($U$33="abril",'Base cotización por meses'!F88,IF($U$33="mayo",'Base cotización por meses'!G88,IF($U$33="junio",'Base cotización por meses'!H88,IF($U$33="julio",'Base cotización por meses'!I88,IF($U$33="agosto",'Base cotización por meses'!J88,IF($U$33="septiembre",'Base cotización por meses'!K88,IF($U$33="octubre",'Base cotización por meses'!L88,IF($U$33="noviembre",'Base cotización por meses'!M88,IF($U$33="diciembre",'Base cotización por meses'!N88,IF($U$33="media",'Base cotización por meses'!H43)))))))))))))*$U$48</f>
        <v>0.14610256410256411</v>
      </c>
      <c r="N43" s="79">
        <f ca="1">IF($U$33="enero",'Base cotización por meses'!C88,IF($U$33="febrero",'Base cotización por meses'!D88,IF($U$33="marzo",'Base cotización por meses'!E88,IF($U$33="abril",'Base cotización por meses'!F88,IF($U$33="mayo",'Base cotización por meses'!G88,IF($U$33="junio",'Base cotización por meses'!H88,IF($U$33="julio",'Base cotización por meses'!I88,IF($U$33="agosto",'Base cotización por meses'!J88,IF($U$33="septiembre",'Base cotización por meses'!K88,IF($U$33="octubre",'Base cotización por meses'!L88,IF($U$33="noviembre",'Base cotización por meses'!M88,IF($U$33="diciembre",'Base cotización por meses'!N88,IF($U$33="media",'Base cotización por meses'!H43)))))))))))))*$U$56</f>
        <v>3.4334102564102569</v>
      </c>
      <c r="O43" s="74">
        <f ca="1">IF($U$33="enero",'Base cotización por meses'!C88,IF($U$33="febrero",'Base cotización por meses'!D88,IF($U$33="marzo",'Base cotización por meses'!E88,IF($U$33="abril",'Base cotización por meses'!F88,IF($U$33="mayo",'Base cotización por meses'!G88,IF($U$33="junio",'Base cotización por meses'!H88,IF($U$33="julio",'Base cotización por meses'!I88,IF($U$33="agosto",'Base cotización por meses'!J88,IF($U$33="septiembre",'Base cotización por meses'!K88,IF($U$33="octubre",'Base cotización por meses'!L88,IF($U$33="noviembre",'Base cotización por meses'!M88,IF($U$33="diciembre",'Base cotización por meses'!N88,IF($U$33="media",'Base cotización por meses'!H43)))))))))))))*$U$65</f>
        <v>0.10957692307692309</v>
      </c>
      <c r="P43" s="74">
        <f ca="1">IF($U$33="enero",'Base cotización por meses'!C88,IF($U$33="febrero",'Base cotización por meses'!D88,IF($U$33="marzo",'Base cotización por meses'!E88,IF($U$33="abril",'Base cotización por meses'!F88,IF($U$33="mayo",'Base cotización por meses'!G88,IF($U$33="junio",'Base cotización por meses'!H88,IF($U$33="julio",'Base cotización por meses'!I88,IF($U$33="agosto",'Base cotización por meses'!J88,IF($U$33="septiembre",'Base cotización por meses'!K88,IF($U$33="octubre",'Base cotización por meses'!L88,IF($U$33="noviembre",'Base cotización por meses'!M88,IF($U$33="diciembre",'Base cotización por meses'!N88,IF($U$33="media",'Base cotización por meses'!H43)))))))))))))*$U$59</f>
        <v>7.3051282051282057E-2</v>
      </c>
      <c r="Q43" s="74">
        <f ca="1">IF($U$33="enero",'Base cotización por meses'!C88,IF($U$33="febrero",'Base cotización por meses'!D88,IF($U$33="marzo",'Base cotización por meses'!E88,IF($U$33="abril",'Base cotización por meses'!F88,IF($U$33="mayo",'Base cotización por meses'!G88,IF($U$33="junio",'Base cotización por meses'!H88,IF($U$33="julio",'Base cotización por meses'!I88,IF($U$33="agosto",'Base cotización por meses'!J88,IF($U$33="septiembre",'Base cotización por meses'!K88,IF($U$33="octubre",'Base cotización por meses'!L88,IF($U$33="noviembre",'Base cotización por meses'!M88,IF($U$33="diciembre",'Base cotización por meses'!N88,IF($U$33="media",'Base cotización por meses'!H43)))))))))))))*$U$62</f>
        <v>1.132294871794872</v>
      </c>
      <c r="R43" s="82">
        <f t="shared" ca="1" si="2"/>
        <v>98.071346153846179</v>
      </c>
      <c r="S43" s="86">
        <f t="shared" ca="1" si="3"/>
        <v>68.302948717948723</v>
      </c>
    </row>
    <row r="44" spans="2:25" ht="16" customHeight="1" thickBot="1">
      <c r="B44" s="3">
        <v>1</v>
      </c>
      <c r="C44" s="9">
        <f t="shared" si="4"/>
        <v>22.753333333333337</v>
      </c>
      <c r="D44" s="9">
        <f t="shared" si="5"/>
        <v>2.1712820512820525</v>
      </c>
      <c r="E44" s="9">
        <f t="shared" ca="1" si="6"/>
        <v>3.3394871794871808</v>
      </c>
      <c r="F44" s="9">
        <f t="shared" ca="1" si="0"/>
        <v>1.7383333333333297</v>
      </c>
      <c r="G44" s="9">
        <f t="shared" ca="1" si="1"/>
        <v>6.5232051282051291</v>
      </c>
      <c r="H44" s="62">
        <f ca="1">IF($U$33="enero",'Base cotización por meses'!C89,IF($U$33="febrero",'Base cotización por meses'!D89,IF($U$33="marzo",'Base cotización por meses'!E89,IF($U$33="abril",'Base cotización por meses'!F89,IF($U$33="mayo",'Base cotización por meses'!G89,IF($U$33="junio",'Base cotización por meses'!H89,IF($U$33="julio",'Base cotización por meses'!I89,IF($U$33="agosto",'Base cotización por meses'!J89,IF($U$33="septiembre",'Base cotización por meses'!K89,IF($U$33="octubre",'Base cotización por meses'!L89,IF($U$33="noviembre",'Base cotización por meses'!M89,IF($U$33="diciembre",'Base cotización por meses'!N89,IF($U$33="media",'Base cotización por meses'!H44)))))))))))))*$U$36</f>
        <v>8.620051282051282</v>
      </c>
      <c r="I44" s="62">
        <f ca="1">IF($U$33="enero",'Base cotización por meses'!C89,IF($U$33="febrero",'Base cotización por meses'!D89,IF($U$33="marzo",'Base cotización por meses'!E89,IF($U$33="abril",'Base cotización por meses'!F89,IF($U$33="mayo",'Base cotización por meses'!G89,IF($U$33="junio",'Base cotización por meses'!H89,IF($U$33="julio",'Base cotización por meses'!I89,IF($U$33="agosto",'Base cotización por meses'!J89,IF($U$33="septiembre",'Base cotización por meses'!K89,IF($U$33="octubre",'Base cotización por meses'!L89,IF($U$33="noviembre",'Base cotización por meses'!M89,IF($U$33="diciembre",'Base cotización por meses'!N89,IF($U$33="media",'Base cotización por meses'!H44)))))))))))))*$U$51</f>
        <v>0.27394230769230771</v>
      </c>
      <c r="J44" s="62">
        <f ca="1">IF($U$33="enero",'Base cotización por meses'!C89,IF($U$33="febrero",'Base cotización por meses'!D89,IF($U$33="marzo",'Base cotización por meses'!E89,IF($U$33="abril",'Base cotización por meses'!F89,IF($U$33="mayo",'Base cotización por meses'!G89,IF($U$33="junio",'Base cotización por meses'!H89,IF($U$33="julio",'Base cotización por meses'!I89,IF($U$33="agosto",'Base cotización por meses'!J89,IF($U$33="septiembre",'Base cotización por meses'!K89,IF($U$33="octubre",'Base cotización por meses'!L89,IF($U$33="noviembre",'Base cotización por meses'!M89,IF($U$33="diciembre",'Base cotización por meses'!N89,IF($U$33="media",'Base cotización por meses'!H44)))))))))))))*$U$39</f>
        <v>1.3149230769230769</v>
      </c>
      <c r="K44" s="62">
        <f ca="1">IF($U$33="enero",'Base cotización por meses'!C89,IF($U$33="febrero",'Base cotización por meses'!D89,IF($U$33="marzo",'Base cotización por meses'!E89,IF($U$33="abril",'Base cotización por meses'!F89,IF($U$33="mayo",'Base cotización por meses'!G89,IF($U$33="junio",'Base cotización por meses'!H89,IF($U$33="julio",'Base cotización por meses'!I89,IF($U$33="agosto",'Base cotización por meses'!J89,IF($U$33="septiembre",'Base cotización por meses'!K89,IF($U$33="octubre",'Base cotización por meses'!L89,IF($U$33="noviembre",'Base cotización por meses'!M89,IF($U$33="diciembre",'Base cotización por meses'!N89,IF($U$33="media",'Base cotización por meses'!H44)))))))))))))*$U$42</f>
        <v>2.0089102564102568</v>
      </c>
      <c r="L44" s="62">
        <f ca="1">IF($U$33="enero",'Base cotización por meses'!C89,IF($U$33="febrero",'Base cotización por meses'!D89,IF($U$33="marzo",'Base cotización por meses'!E89,IF($U$33="abril",'Base cotización por meses'!F89,IF($U$33="mayo",'Base cotización por meses'!G89,IF($U$33="junio",'Base cotización por meses'!H89,IF($U$33="julio",'Base cotización por meses'!I89,IF($U$33="agosto",'Base cotización por meses'!J89,IF($U$33="septiembre",'Base cotización por meses'!K89,IF($U$33="octubre",'Base cotización por meses'!L89,IF($U$33="noviembre",'Base cotización por meses'!M89,IF($U$33="diciembre",'Base cotización por meses'!N89,IF($U$33="media",'Base cotización por meses'!H44)))))))))))))*$U$45</f>
        <v>0.21915384615384617</v>
      </c>
      <c r="M44" s="62">
        <f ca="1">IF($U$33="enero",'Base cotización por meses'!C89,IF($U$33="febrero",'Base cotización por meses'!D89,IF($U$33="marzo",'Base cotización por meses'!E89,IF($U$33="abril",'Base cotización por meses'!F89,IF($U$33="mayo",'Base cotización por meses'!G89,IF($U$33="junio",'Base cotización por meses'!H89,IF($U$33="julio",'Base cotización por meses'!I89,IF($U$33="agosto",'Base cotización por meses'!J89,IF($U$33="septiembre",'Base cotización por meses'!K89,IF($U$33="octubre",'Base cotización por meses'!L89,IF($U$33="noviembre",'Base cotización por meses'!M89,IF($U$33="diciembre",'Base cotización por meses'!N89,IF($U$33="media",'Base cotización por meses'!H44)))))))))))))*$U$48</f>
        <v>7.3051282051282057E-2</v>
      </c>
      <c r="N44" s="79">
        <f ca="1">IF($U$33="enero",'Base cotización por meses'!C89,IF($U$33="febrero",'Base cotización por meses'!D89,IF($U$33="marzo",'Base cotización por meses'!E89,IF($U$33="abril",'Base cotización por meses'!F89,IF($U$33="mayo",'Base cotización por meses'!G89,IF($U$33="junio",'Base cotización por meses'!H89,IF($U$33="julio",'Base cotización por meses'!I89,IF($U$33="agosto",'Base cotización por meses'!J89,IF($U$33="septiembre",'Base cotización por meses'!K89,IF($U$33="octubre",'Base cotización por meses'!L89,IF($U$33="noviembre",'Base cotización por meses'!M89,IF($U$33="diciembre",'Base cotización por meses'!N89,IF($U$33="media",'Base cotización por meses'!H44)))))))))))))*$U$56</f>
        <v>1.7167051282051284</v>
      </c>
      <c r="O44" s="74">
        <f ca="1">IF($U$33="enero",'Base cotización por meses'!C89,IF($U$33="febrero",'Base cotización por meses'!D89,IF($U$33="marzo",'Base cotización por meses'!E89,IF($U$33="abril",'Base cotización por meses'!F89,IF($U$33="mayo",'Base cotización por meses'!G89,IF($U$33="junio",'Base cotización por meses'!H89,IF($U$33="julio",'Base cotización por meses'!I89,IF($U$33="agosto",'Base cotización por meses'!J89,IF($U$33="septiembre",'Base cotización por meses'!K89,IF($U$33="octubre",'Base cotización por meses'!L89,IF($U$33="noviembre",'Base cotización por meses'!M89,IF($U$33="diciembre",'Base cotización por meses'!N89,IF($U$33="media",'Base cotización por meses'!H44)))))))))))))*$U$65</f>
        <v>5.4788461538461543E-2</v>
      </c>
      <c r="P44" s="74">
        <f ca="1">IF($U$33="enero",'Base cotización por meses'!C89,IF($U$33="febrero",'Base cotización por meses'!D89,IF($U$33="marzo",'Base cotización por meses'!E89,IF($U$33="abril",'Base cotización por meses'!F89,IF($U$33="mayo",'Base cotización por meses'!G89,IF($U$33="junio",'Base cotización por meses'!H89,IF($U$33="julio",'Base cotización por meses'!I89,IF($U$33="agosto",'Base cotización por meses'!J89,IF($U$33="septiembre",'Base cotización por meses'!K89,IF($U$33="octubre",'Base cotización por meses'!L89,IF($U$33="noviembre",'Base cotización por meses'!M89,IF($U$33="diciembre",'Base cotización por meses'!N89,IF($U$33="media",'Base cotización por meses'!H44)))))))))))))*$U$59</f>
        <v>3.6525641025641029E-2</v>
      </c>
      <c r="Q44" s="74">
        <f ca="1">IF($U$33="enero",'Base cotización por meses'!C89,IF($U$33="febrero",'Base cotización por meses'!D89,IF($U$33="marzo",'Base cotización por meses'!E89,IF($U$33="abril",'Base cotización por meses'!F89,IF($U$33="mayo",'Base cotización por meses'!G89,IF($U$33="junio",'Base cotización por meses'!H89,IF($U$33="julio",'Base cotización por meses'!I89,IF($U$33="agosto",'Base cotización por meses'!J89,IF($U$33="septiembre",'Base cotización por meses'!K89,IF($U$33="octubre",'Base cotización por meses'!L89,IF($U$33="noviembre",'Base cotización por meses'!M89,IF($U$33="diciembre",'Base cotización por meses'!N89,IF($U$33="media",'Base cotización por meses'!H44)))))))))))))*$U$62</f>
        <v>0.56614743589743599</v>
      </c>
      <c r="R44" s="83">
        <f t="shared" ca="1" si="2"/>
        <v>49.035673076923089</v>
      </c>
      <c r="S44" s="87">
        <f t="shared" ca="1" si="3"/>
        <v>34.151474358974362</v>
      </c>
      <c r="T44" s="10"/>
      <c r="U44" s="190" t="s">
        <v>73</v>
      </c>
      <c r="V44" s="165"/>
      <c r="W44" s="185"/>
    </row>
    <row r="45" spans="2:25">
      <c r="U45" s="189">
        <v>6.0000000000000001E-3</v>
      </c>
      <c r="V45" s="187"/>
      <c r="W45" s="188"/>
      <c r="X45" s="88" t="s">
        <v>70</v>
      </c>
    </row>
    <row r="46" spans="2:25" ht="16" customHeight="1" thickBot="1"/>
    <row r="47" spans="2:25" ht="16" customHeight="1" thickBot="1">
      <c r="F47" s="92"/>
      <c r="G47" s="92"/>
      <c r="H47" s="93"/>
      <c r="I47" s="93"/>
      <c r="J47" s="96"/>
      <c r="K47" s="92"/>
      <c r="L47" s="92"/>
      <c r="M47" s="92"/>
      <c r="N47" s="92"/>
      <c r="O47" s="92"/>
      <c r="P47" s="92"/>
      <c r="R47" s="10"/>
      <c r="S47" s="10"/>
      <c r="U47" s="190" t="s">
        <v>74</v>
      </c>
      <c r="V47" s="165"/>
      <c r="W47" s="185"/>
    </row>
    <row r="48" spans="2:25">
      <c r="F48" s="92"/>
      <c r="G48" s="92"/>
      <c r="H48" s="93"/>
      <c r="I48" s="93"/>
      <c r="J48" s="96"/>
      <c r="K48" s="96"/>
      <c r="L48" s="96"/>
      <c r="M48" s="92"/>
      <c r="N48" s="92"/>
      <c r="O48" s="92"/>
      <c r="P48" s="92"/>
      <c r="U48" s="189">
        <v>2E-3</v>
      </c>
      <c r="V48" s="187"/>
      <c r="W48" s="188"/>
      <c r="X48" s="88" t="s">
        <v>70</v>
      </c>
    </row>
    <row r="49" spans="4:24" ht="16" customHeight="1" thickBot="1">
      <c r="F49" s="92"/>
      <c r="G49" s="94"/>
      <c r="H49" s="95"/>
      <c r="I49" s="95"/>
      <c r="J49" s="92"/>
      <c r="K49" s="92"/>
      <c r="L49" s="92"/>
      <c r="M49" s="92"/>
      <c r="N49" s="92"/>
      <c r="O49" s="92"/>
      <c r="P49" s="92"/>
    </row>
    <row r="50" spans="4:24" ht="16" customHeight="1" thickBot="1">
      <c r="F50" s="92"/>
      <c r="G50" s="94"/>
      <c r="H50" s="95"/>
      <c r="I50" s="95"/>
      <c r="J50" s="92"/>
      <c r="K50" s="92"/>
      <c r="L50" s="92"/>
      <c r="M50" s="92"/>
      <c r="N50" s="92"/>
      <c r="O50" s="96"/>
      <c r="P50" s="92"/>
      <c r="U50" s="190" t="s">
        <v>75</v>
      </c>
      <c r="V50" s="165"/>
      <c r="W50" s="185"/>
    </row>
    <row r="51" spans="4:24">
      <c r="F51" s="92"/>
      <c r="G51" s="94"/>
      <c r="H51" s="95"/>
      <c r="I51" s="95"/>
      <c r="J51" s="92"/>
      <c r="K51" s="92"/>
      <c r="L51" s="92"/>
      <c r="M51" s="92"/>
      <c r="N51" s="92"/>
      <c r="O51" s="92"/>
      <c r="P51" s="92"/>
      <c r="U51" s="189">
        <v>7.4999999999999997E-3</v>
      </c>
      <c r="V51" s="187"/>
      <c r="W51" s="188"/>
      <c r="X51" s="88" t="s">
        <v>70</v>
      </c>
    </row>
    <row r="52" spans="4:24" s="90" customFormat="1">
      <c r="F52" s="92"/>
      <c r="G52" s="94"/>
      <c r="H52" s="95"/>
      <c r="I52" s="95"/>
      <c r="J52" s="92"/>
      <c r="K52" s="92"/>
      <c r="L52" s="92"/>
      <c r="M52" s="92"/>
      <c r="N52" s="92"/>
      <c r="O52" s="92"/>
      <c r="P52" s="92"/>
      <c r="U52" s="91"/>
      <c r="V52" s="91"/>
      <c r="W52" s="91"/>
    </row>
    <row r="53" spans="4:24">
      <c r="D53" s="10"/>
      <c r="F53" s="92"/>
      <c r="G53" s="94"/>
      <c r="H53" s="93"/>
      <c r="I53" s="93"/>
      <c r="J53" s="92"/>
      <c r="K53" s="92"/>
      <c r="L53" s="94"/>
      <c r="M53" s="92"/>
      <c r="N53" s="92"/>
      <c r="O53" s="92"/>
      <c r="P53" s="92"/>
      <c r="U53" s="75" t="s">
        <v>79</v>
      </c>
      <c r="V53" s="76"/>
      <c r="W53" s="77"/>
      <c r="X53" s="77"/>
    </row>
    <row r="54" spans="4:24" ht="16" customHeight="1" thickBot="1">
      <c r="F54" s="92"/>
      <c r="G54" s="94"/>
      <c r="H54" s="93"/>
      <c r="I54" s="93"/>
      <c r="J54" s="92"/>
      <c r="K54" s="92"/>
      <c r="L54" s="94"/>
      <c r="M54" s="92"/>
      <c r="N54" s="92"/>
      <c r="O54" s="92"/>
      <c r="P54" s="92"/>
    </row>
    <row r="55" spans="4:24" ht="16" customHeight="1" thickBot="1">
      <c r="D55" s="10"/>
      <c r="F55" s="92"/>
      <c r="G55" s="94"/>
      <c r="H55" s="93"/>
      <c r="I55" s="94"/>
      <c r="J55" s="96"/>
      <c r="K55" s="92"/>
      <c r="L55" s="92"/>
      <c r="M55" s="92"/>
      <c r="N55" s="92"/>
      <c r="O55" s="92"/>
      <c r="P55" s="92"/>
      <c r="U55" s="190" t="s">
        <v>69</v>
      </c>
      <c r="V55" s="165"/>
      <c r="W55" s="185"/>
    </row>
    <row r="56" spans="4:24">
      <c r="D56" s="10"/>
      <c r="F56" s="92"/>
      <c r="G56" s="94"/>
      <c r="H56" s="93"/>
      <c r="I56" s="94"/>
      <c r="J56" s="92"/>
      <c r="K56" s="92"/>
      <c r="L56" s="92"/>
      <c r="M56" s="92"/>
      <c r="N56" s="92"/>
      <c r="O56" s="92"/>
      <c r="P56" s="92"/>
      <c r="U56" s="189">
        <v>4.7E-2</v>
      </c>
      <c r="V56" s="187"/>
      <c r="W56" s="188"/>
      <c r="X56" s="88" t="s">
        <v>70</v>
      </c>
    </row>
    <row r="57" spans="4:24" ht="16" customHeight="1" thickBot="1">
      <c r="F57" s="92"/>
      <c r="G57" s="94"/>
      <c r="H57" s="93"/>
      <c r="I57" s="94"/>
      <c r="J57" s="92"/>
      <c r="K57" s="92"/>
      <c r="L57" s="92"/>
      <c r="M57" s="92"/>
      <c r="N57" s="92"/>
      <c r="O57" s="92"/>
      <c r="P57" s="92"/>
    </row>
    <row r="58" spans="4:24" ht="16" customHeight="1" thickBot="1">
      <c r="F58" s="92"/>
      <c r="G58" s="94"/>
      <c r="H58" s="93"/>
      <c r="I58" s="93"/>
      <c r="J58" s="92"/>
      <c r="K58" s="92"/>
      <c r="L58" s="92"/>
      <c r="M58" s="92"/>
      <c r="N58" s="92"/>
      <c r="O58" s="92"/>
      <c r="P58" s="92"/>
      <c r="U58" s="190" t="s">
        <v>80</v>
      </c>
      <c r="V58" s="165"/>
      <c r="W58" s="185"/>
    </row>
    <row r="59" spans="4:24">
      <c r="F59" s="92"/>
      <c r="G59" s="94"/>
      <c r="H59" s="93"/>
      <c r="I59" s="93"/>
      <c r="J59" s="92"/>
      <c r="K59" s="92"/>
      <c r="L59" s="92"/>
      <c r="M59" s="92"/>
      <c r="N59" s="92"/>
      <c r="O59" s="92"/>
      <c r="P59" s="92"/>
      <c r="U59" s="189">
        <v>1E-3</v>
      </c>
      <c r="V59" s="187"/>
      <c r="W59" s="188"/>
      <c r="X59" s="88" t="s">
        <v>70</v>
      </c>
    </row>
    <row r="60" spans="4:24" ht="16" customHeight="1" thickBot="1">
      <c r="F60" s="92"/>
      <c r="G60" s="94"/>
      <c r="H60" s="93"/>
      <c r="I60" s="93"/>
      <c r="J60" s="92"/>
      <c r="K60" s="92"/>
      <c r="L60" s="92"/>
      <c r="M60" s="92"/>
      <c r="N60" s="92"/>
      <c r="O60" s="92"/>
    </row>
    <row r="61" spans="4:24" ht="16" customHeight="1" thickBot="1">
      <c r="G61" s="69"/>
      <c r="U61" s="190" t="s">
        <v>72</v>
      </c>
      <c r="V61" s="165"/>
      <c r="W61" s="185"/>
    </row>
    <row r="62" spans="4:24">
      <c r="U62" s="189">
        <v>1.55E-2</v>
      </c>
      <c r="V62" s="187"/>
      <c r="W62" s="188"/>
      <c r="X62" s="88" t="s">
        <v>70</v>
      </c>
    </row>
    <row r="63" spans="4:24" ht="16" customHeight="1" thickBot="1"/>
    <row r="64" spans="4:24" ht="16" customHeight="1" thickBot="1">
      <c r="U64" s="190" t="s">
        <v>75</v>
      </c>
      <c r="V64" s="165"/>
      <c r="W64" s="185"/>
    </row>
    <row r="65" spans="21:24">
      <c r="U65" s="189">
        <v>1.5E-3</v>
      </c>
      <c r="V65" s="187"/>
      <c r="W65" s="188"/>
      <c r="X65" s="88" t="s">
        <v>70</v>
      </c>
    </row>
  </sheetData>
  <mergeCells count="28">
    <mergeCell ref="U62:W62"/>
    <mergeCell ref="U33:W33"/>
    <mergeCell ref="U42:W42"/>
    <mergeCell ref="U58:W58"/>
    <mergeCell ref="U50:W50"/>
    <mergeCell ref="U44:W44"/>
    <mergeCell ref="U11:X11"/>
    <mergeCell ref="U59:W59"/>
    <mergeCell ref="U41:W41"/>
    <mergeCell ref="U32:W32"/>
    <mergeCell ref="U56:W56"/>
    <mergeCell ref="U47:W47"/>
    <mergeCell ref="H4:M4"/>
    <mergeCell ref="U65:W65"/>
    <mergeCell ref="U45:W45"/>
    <mergeCell ref="U36:W36"/>
    <mergeCell ref="U30:W30"/>
    <mergeCell ref="U12:X12"/>
    <mergeCell ref="U48:W48"/>
    <mergeCell ref="U61:W61"/>
    <mergeCell ref="N4:Q4"/>
    <mergeCell ref="U39:W39"/>
    <mergeCell ref="U64:W64"/>
    <mergeCell ref="U55:W55"/>
    <mergeCell ref="U51:W51"/>
    <mergeCell ref="U38:W38"/>
    <mergeCell ref="U29:W29"/>
    <mergeCell ref="U35:W35"/>
  </mergeCells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5:T97"/>
  <sheetViews>
    <sheetView workbookViewId="0">
      <selection activeCell="K14" sqref="K14"/>
    </sheetView>
  </sheetViews>
  <sheetFormatPr baseColWidth="10" defaultColWidth="11.5" defaultRowHeight="15"/>
  <cols>
    <col min="1" max="9" width="11.5" style="1" customWidth="1"/>
    <col min="10" max="10" width="11.83203125" style="1" bestFit="1" customWidth="1"/>
    <col min="11" max="11" width="11.5" style="1" customWidth="1"/>
    <col min="12" max="16384" width="11.5" style="1"/>
  </cols>
  <sheetData>
    <row r="5" spans="2:20" ht="49" customHeight="1" thickBot="1">
      <c r="B5" s="7" t="str">
        <f>Costes_26!B5</f>
        <v>Nº horas
/semana</v>
      </c>
      <c r="C5" s="7" t="str">
        <f>Costes_26!C5</f>
        <v xml:space="preserve"> Salario Base</v>
      </c>
      <c r="D5" s="7" t="str">
        <f>Costes_26!D5</f>
        <v>Plus Convenio 
Salarial</v>
      </c>
      <c r="E5" s="7" t="str">
        <f>Costes_26!E5</f>
        <v>Antigüedad</v>
      </c>
      <c r="F5" s="7" t="str">
        <f>Costes_26!F5</f>
        <v>Com SMI absor y 
compensable</v>
      </c>
      <c r="G5" s="7" t="str">
        <f>Costes_26!G5</f>
        <v>P.p extras</v>
      </c>
      <c r="H5" s="7" t="s">
        <v>81</v>
      </c>
      <c r="I5" s="7" t="s">
        <v>0</v>
      </c>
      <c r="J5" s="7" t="s">
        <v>1</v>
      </c>
      <c r="K5" s="7" t="s">
        <v>2</v>
      </c>
      <c r="L5" s="7" t="s">
        <v>3</v>
      </c>
      <c r="M5" s="7" t="s">
        <v>4</v>
      </c>
      <c r="N5" s="7" t="s">
        <v>5</v>
      </c>
      <c r="O5" s="7" t="s">
        <v>8</v>
      </c>
      <c r="P5" s="7" t="s">
        <v>9</v>
      </c>
      <c r="Q5" s="7" t="s">
        <v>11</v>
      </c>
      <c r="R5" s="7" t="s">
        <v>12</v>
      </c>
      <c r="S5" s="7" t="s">
        <v>14</v>
      </c>
      <c r="T5" s="7" t="s">
        <v>16</v>
      </c>
    </row>
    <row r="6" spans="2:20">
      <c r="B6" s="5">
        <f>Costes_26!B6</f>
        <v>39</v>
      </c>
      <c r="C6" s="4">
        <f>Costes_26!C6</f>
        <v>887.38</v>
      </c>
      <c r="D6" s="4">
        <f>Costes_26!D6</f>
        <v>84.68</v>
      </c>
      <c r="E6" s="4">
        <f ca="1">Costes_26!E6</f>
        <v>130.24</v>
      </c>
      <c r="F6" s="4">
        <f ca="1">Costes_26!F6</f>
        <v>67.7950000000003</v>
      </c>
      <c r="G6" s="4">
        <f ca="1">Costes_26!G6</f>
        <v>254.40499999999997</v>
      </c>
      <c r="H6" s="45">
        <f t="shared" ref="H6:H44" ca="1" si="0">SUM(C6:G6)</f>
        <v>1424.5000000000002</v>
      </c>
      <c r="I6" s="46">
        <f ca="1">Costes_26!$Q$15*(Costes_26!B6/5)*Costes_26!$P$30</f>
        <v>1297.92</v>
      </c>
      <c r="J6" s="45">
        <f ca="1">Costes_26!$Q$16*(B6/5)*Costes_26!$P$30</f>
        <v>1297.92</v>
      </c>
      <c r="K6" s="45">
        <f ca="1">Costes_26!$Q$17*(B6/5)*Costes_26!$P$30</f>
        <v>1297.92</v>
      </c>
      <c r="L6" s="45">
        <f ca="1">Costes_26!$Q$18*(B6/5)*Costes_26!$P$30</f>
        <v>1297.92</v>
      </c>
      <c r="M6" s="45">
        <f ca="1">Costes_26!$Q$19*(B6/5)*Costes_26!$P$30</f>
        <v>1297.92</v>
      </c>
      <c r="N6" s="45">
        <f ca="1">Costes_26!$Q$20*(B6/5)*Costes_26!$P$30</f>
        <v>1297.92</v>
      </c>
      <c r="O6" s="45">
        <f ca="1">Costes_26!$Q$21*(B6/5)*Costes_26!$P$30</f>
        <v>1492.6080000000002</v>
      </c>
      <c r="P6" s="45">
        <f ca="1">Costes_26!$Q$22*(B6/5)*Costes_26!$P$30</f>
        <v>1362.8159999999998</v>
      </c>
      <c r="Q6" s="45">
        <f ca="1">Costes_26!$Q$23*(B6/5)*Costes_26!$P$30</f>
        <v>1427.712</v>
      </c>
      <c r="R6" s="45">
        <f ca="1">Costes_26!$Q$24*(B6/5)*Costes_26!$P$30</f>
        <v>1297.92</v>
      </c>
      <c r="S6" s="45">
        <f ca="1">Costes_26!$Q$25*(B6/5)*Costes_26!$P$30</f>
        <v>1362.8159999999998</v>
      </c>
      <c r="T6" s="45">
        <f ca="1">Costes_26!$Q$26*(B6/5)*Costes_26!$P$30</f>
        <v>1362.8159999999998</v>
      </c>
    </row>
    <row r="7" spans="2:20">
      <c r="B7" s="5">
        <f>Costes_26!B7</f>
        <v>38</v>
      </c>
      <c r="C7" s="4">
        <f>Costes_26!C7</f>
        <v>864.62666666666667</v>
      </c>
      <c r="D7" s="4">
        <f>Costes_26!D7</f>
        <v>82.508717948717958</v>
      </c>
      <c r="E7" s="4">
        <f ca="1">Costes_26!E7</f>
        <v>126.90051282051283</v>
      </c>
      <c r="F7" s="4">
        <f ca="1">Costes_26!F7</f>
        <v>66.056666666666843</v>
      </c>
      <c r="G7" s="4">
        <f ca="1">Costes_26!G7</f>
        <v>247.88179487179485</v>
      </c>
      <c r="H7" s="45">
        <f t="shared" ca="1" si="0"/>
        <v>1387.9743589743591</v>
      </c>
      <c r="I7" s="46">
        <f ca="1">Costes_26!$Q$15*(Costes_26!B7/5)*Costes_26!$P$30</f>
        <v>1264.6400000000001</v>
      </c>
      <c r="J7" s="45">
        <f ca="1">Costes_26!$Q$16*(B7/5)*Costes_26!$P$30</f>
        <v>1264.6400000000001</v>
      </c>
      <c r="K7" s="45">
        <f ca="1">Costes_26!$Q$17*(B7/5)*Costes_26!$P$30</f>
        <v>1264.6400000000001</v>
      </c>
      <c r="L7" s="45">
        <f ca="1">Costes_26!$Q$18*(B7/5)*Costes_26!$P$30</f>
        <v>1264.6400000000001</v>
      </c>
      <c r="M7" s="45">
        <f ca="1">Costes_26!$Q$19*(B7/5)*Costes_26!$P$30</f>
        <v>1264.6400000000001</v>
      </c>
      <c r="N7" s="45">
        <f ca="1">Costes_26!$Q$20*(B7/5)*Costes_26!$P$30</f>
        <v>1264.6400000000001</v>
      </c>
      <c r="O7" s="45">
        <f ca="1">Costes_26!$Q$21*(B7/5)*Costes_26!$P$30</f>
        <v>1454.336</v>
      </c>
      <c r="P7" s="45">
        <f ca="1">Costes_26!$Q$22*(B7/5)*Costes_26!$P$30</f>
        <v>1327.8720000000001</v>
      </c>
      <c r="Q7" s="45">
        <f ca="1">Costes_26!$Q$23*(B7/5)*Costes_26!$P$30</f>
        <v>1391.104</v>
      </c>
      <c r="R7" s="45">
        <f ca="1">Costes_26!$Q$24*(B7/5)*Costes_26!$P$30</f>
        <v>1264.6400000000001</v>
      </c>
      <c r="S7" s="45">
        <f ca="1">Costes_26!$Q$25*(B7/5)*Costes_26!$P$30</f>
        <v>1327.8720000000001</v>
      </c>
      <c r="T7" s="45">
        <f ca="1">Costes_26!$Q$26*(B7/5)*Costes_26!$P$30</f>
        <v>1327.8720000000001</v>
      </c>
    </row>
    <row r="8" spans="2:20">
      <c r="B8" s="5">
        <f>Costes_26!B8</f>
        <v>37</v>
      </c>
      <c r="C8" s="4">
        <f>Costes_26!C8</f>
        <v>841.87333333333333</v>
      </c>
      <c r="D8" s="4">
        <f>Costes_26!D8</f>
        <v>80.33743589743591</v>
      </c>
      <c r="E8" s="4">
        <f ca="1">Costes_26!E8</f>
        <v>123.56102564102565</v>
      </c>
      <c r="F8" s="4">
        <f ca="1">Costes_26!F8</f>
        <v>64.318333333333385</v>
      </c>
      <c r="G8" s="4">
        <f ca="1">Costes_26!G8</f>
        <v>241.35858974358973</v>
      </c>
      <c r="H8" s="45">
        <f t="shared" ca="1" si="0"/>
        <v>1351.4487179487182</v>
      </c>
      <c r="I8" s="46">
        <f ca="1">Costes_26!$Q$15*(Costes_26!B8/5)*Costes_26!$P$30</f>
        <v>1231.3600000000001</v>
      </c>
      <c r="J8" s="45">
        <f ca="1">Costes_26!$Q$16*(B8/5)*Costes_26!$P$30</f>
        <v>1231.3600000000001</v>
      </c>
      <c r="K8" s="45">
        <f ca="1">Costes_26!$Q$17*(B8/5)*Costes_26!$P$30</f>
        <v>1231.3600000000001</v>
      </c>
      <c r="L8" s="45">
        <f ca="1">Costes_26!$Q$18*(B8/5)*Costes_26!$P$30</f>
        <v>1231.3600000000001</v>
      </c>
      <c r="M8" s="45">
        <f ca="1">Costes_26!$Q$19*(B8/5)*Costes_26!$P$30</f>
        <v>1231.3600000000001</v>
      </c>
      <c r="N8" s="45">
        <f ca="1">Costes_26!$Q$20*(B8/5)*Costes_26!$P$30</f>
        <v>1231.3600000000001</v>
      </c>
      <c r="O8" s="45">
        <f ca="1">Costes_26!$Q$21*(B8/5)*Costes_26!$P$30</f>
        <v>1416.0640000000001</v>
      </c>
      <c r="P8" s="45">
        <f ca="1">Costes_26!$Q$22*(B8/5)*Costes_26!$P$30</f>
        <v>1292.9280000000001</v>
      </c>
      <c r="Q8" s="45">
        <f ca="1">Costes_26!$Q$23*(B8/5)*Costes_26!$P$30</f>
        <v>1354.4960000000001</v>
      </c>
      <c r="R8" s="45">
        <f ca="1">Costes_26!$Q$24*(B8/5)*Costes_26!$P$30</f>
        <v>1231.3600000000001</v>
      </c>
      <c r="S8" s="45">
        <f ca="1">Costes_26!$Q$25*(B8/5)*Costes_26!$P$30</f>
        <v>1292.9280000000001</v>
      </c>
      <c r="T8" s="45">
        <f ca="1">Costes_26!$Q$26*(B8/5)*Costes_26!$P$30</f>
        <v>1292.9280000000001</v>
      </c>
    </row>
    <row r="9" spans="2:20">
      <c r="B9" s="5">
        <f>Costes_26!B9</f>
        <v>36</v>
      </c>
      <c r="C9" s="4">
        <f>Costes_26!C9</f>
        <v>819.12</v>
      </c>
      <c r="D9" s="4">
        <f>Costes_26!D9</f>
        <v>78.166153846153861</v>
      </c>
      <c r="E9" s="4">
        <f ca="1">Costes_26!E9</f>
        <v>120.22153846153847</v>
      </c>
      <c r="F9" s="4">
        <f ca="1">Costes_26!F9</f>
        <v>62.580000000000155</v>
      </c>
      <c r="G9" s="4">
        <f ca="1">Costes_26!G9</f>
        <v>234.83538461538461</v>
      </c>
      <c r="H9" s="45">
        <f t="shared" ca="1" si="0"/>
        <v>1314.9230769230771</v>
      </c>
      <c r="I9" s="46">
        <f ca="1">Costes_26!$Q$15*(Costes_26!B9/5)*Costes_26!$P$30</f>
        <v>1198.08</v>
      </c>
      <c r="J9" s="45">
        <f ca="1">Costes_26!$Q$16*(B9/5)*Costes_26!$P$30</f>
        <v>1198.08</v>
      </c>
      <c r="K9" s="45">
        <f ca="1">Costes_26!$Q$17*(B9/5)*Costes_26!$P$30</f>
        <v>1198.08</v>
      </c>
      <c r="L9" s="45">
        <f ca="1">Costes_26!$Q$18*(B9/5)*Costes_26!$P$30</f>
        <v>1198.08</v>
      </c>
      <c r="M9" s="45">
        <f ca="1">Costes_26!$Q$19*(B9/5)*Costes_26!$P$30</f>
        <v>1198.08</v>
      </c>
      <c r="N9" s="45">
        <f ca="1">Costes_26!$Q$20*(B9/5)*Costes_26!$P$30</f>
        <v>1198.08</v>
      </c>
      <c r="O9" s="45">
        <f ca="1">Costes_26!$Q$21*(B9/5)*Costes_26!$P$30</f>
        <v>1377.7919999999999</v>
      </c>
      <c r="P9" s="45">
        <f ca="1">Costes_26!$Q$22*(B9/5)*Costes_26!$P$30</f>
        <v>1257.9840000000002</v>
      </c>
      <c r="Q9" s="45">
        <f ca="1">Costes_26!$Q$23*(B9/5)*Costes_26!$P$30</f>
        <v>1317.8880000000001</v>
      </c>
      <c r="R9" s="45">
        <f ca="1">Costes_26!$Q$24*(B9/5)*Costes_26!$P$30</f>
        <v>1198.08</v>
      </c>
      <c r="S9" s="45">
        <f ca="1">Costes_26!$Q$25*(B9/5)*Costes_26!$P$30</f>
        <v>1257.9840000000002</v>
      </c>
      <c r="T9" s="45">
        <f ca="1">Costes_26!$Q$26*(B9/5)*Costes_26!$P$30</f>
        <v>1257.9840000000002</v>
      </c>
    </row>
    <row r="10" spans="2:20">
      <c r="B10" s="5">
        <f>Costes_26!B10</f>
        <v>35</v>
      </c>
      <c r="C10" s="4">
        <f>Costes_26!C10</f>
        <v>796.36666666666667</v>
      </c>
      <c r="D10" s="4">
        <f>Costes_26!D10</f>
        <v>75.994871794871813</v>
      </c>
      <c r="E10" s="4">
        <f ca="1">Costes_26!E10</f>
        <v>116.88205128205129</v>
      </c>
      <c r="F10" s="4">
        <f ca="1">Costes_26!F10</f>
        <v>60.841666666666924</v>
      </c>
      <c r="G10" s="4">
        <f ca="1">Costes_26!G10</f>
        <v>228.31217948717946</v>
      </c>
      <c r="H10" s="45">
        <f t="shared" ca="1" si="0"/>
        <v>1278.397435897436</v>
      </c>
      <c r="I10" s="46">
        <f ca="1">Costes_26!$Q$15*(Costes_26!B10/5)*Costes_26!$P$30</f>
        <v>1164.8</v>
      </c>
      <c r="J10" s="45">
        <f ca="1">Costes_26!$Q$16*(B10/5)*Costes_26!$P$30</f>
        <v>1164.8</v>
      </c>
      <c r="K10" s="45">
        <f ca="1">Costes_26!$Q$17*(B10/5)*Costes_26!$P$30</f>
        <v>1164.8</v>
      </c>
      <c r="L10" s="45">
        <f ca="1">Costes_26!$Q$18*(B10/5)*Costes_26!$P$30</f>
        <v>1164.8</v>
      </c>
      <c r="M10" s="45">
        <f ca="1">Costes_26!$Q$19*(B10/5)*Costes_26!$P$30</f>
        <v>1164.8</v>
      </c>
      <c r="N10" s="45">
        <f ca="1">Costes_26!$Q$20*(B10/5)*Costes_26!$P$30</f>
        <v>1164.8</v>
      </c>
      <c r="O10" s="45">
        <f ca="1">Costes_26!$Q$21*(B10/5)*Costes_26!$P$30</f>
        <v>1339.52</v>
      </c>
      <c r="P10" s="45">
        <f ca="1">Costes_26!$Q$22*(B10/5)*Costes_26!$P$30</f>
        <v>1223.04</v>
      </c>
      <c r="Q10" s="45">
        <f ca="1">Costes_26!$Q$23*(B10/5)*Costes_26!$P$30</f>
        <v>1281.28</v>
      </c>
      <c r="R10" s="45">
        <f ca="1">Costes_26!$Q$24*(B10/5)*Costes_26!$P$30</f>
        <v>1164.8</v>
      </c>
      <c r="S10" s="45">
        <f ca="1">Costes_26!$Q$25*(B10/5)*Costes_26!$P$30</f>
        <v>1223.04</v>
      </c>
      <c r="T10" s="45">
        <f ca="1">Costes_26!$Q$26*(B10/5)*Costes_26!$P$30</f>
        <v>1223.04</v>
      </c>
    </row>
    <row r="11" spans="2:20">
      <c r="B11" s="5">
        <f>Costes_26!B11</f>
        <v>34</v>
      </c>
      <c r="C11" s="4">
        <f>Costes_26!C11</f>
        <v>773.61333333333334</v>
      </c>
      <c r="D11" s="4">
        <f>Costes_26!D11</f>
        <v>73.823589743589764</v>
      </c>
      <c r="E11" s="4">
        <f ca="1">Costes_26!E11</f>
        <v>113.54256410256411</v>
      </c>
      <c r="F11" s="4">
        <f ca="1">Costes_26!F11</f>
        <v>59.103333333333239</v>
      </c>
      <c r="G11" s="4">
        <f ca="1">Costes_26!G11</f>
        <v>221.78897435897434</v>
      </c>
      <c r="H11" s="45">
        <f t="shared" ca="1" si="0"/>
        <v>1241.8717948717949</v>
      </c>
      <c r="I11" s="46">
        <f ca="1">Costes_26!$Q$15*(Costes_26!B11/5)*Costes_26!$P$30</f>
        <v>1131.52</v>
      </c>
      <c r="J11" s="45">
        <f ca="1">Costes_26!$Q$16*(B11/5)*Costes_26!$P$30</f>
        <v>1131.52</v>
      </c>
      <c r="K11" s="45">
        <f ca="1">Costes_26!$Q$17*(B11/5)*Costes_26!$P$30</f>
        <v>1131.52</v>
      </c>
      <c r="L11" s="45">
        <f ca="1">Costes_26!$Q$18*(B11/5)*Costes_26!$P$30</f>
        <v>1131.52</v>
      </c>
      <c r="M11" s="45">
        <f ca="1">Costes_26!$Q$19*(B11/5)*Costes_26!$P$30</f>
        <v>1131.52</v>
      </c>
      <c r="N11" s="45">
        <f ca="1">Costes_26!$Q$20*(B11/5)*Costes_26!$P$30</f>
        <v>1131.52</v>
      </c>
      <c r="O11" s="45">
        <f ca="1">Costes_26!$Q$21*(B11/5)*Costes_26!$P$30</f>
        <v>1301.248</v>
      </c>
      <c r="P11" s="45">
        <f ca="1">Costes_26!$Q$22*(B11/5)*Costes_26!$P$30</f>
        <v>1188.096</v>
      </c>
      <c r="Q11" s="45">
        <f ca="1">Costes_26!$Q$23*(B11/5)*Costes_26!$P$30</f>
        <v>1244.672</v>
      </c>
      <c r="R11" s="45">
        <f ca="1">Costes_26!$Q$24*(B11/5)*Costes_26!$P$30</f>
        <v>1131.52</v>
      </c>
      <c r="S11" s="45">
        <f ca="1">Costes_26!$Q$25*(B11/5)*Costes_26!$P$30</f>
        <v>1188.096</v>
      </c>
      <c r="T11" s="45">
        <f ca="1">Costes_26!$Q$26*(B11/5)*Costes_26!$P$30</f>
        <v>1188.096</v>
      </c>
    </row>
    <row r="12" spans="2:20">
      <c r="B12" s="5">
        <f>Costes_26!B12</f>
        <v>33</v>
      </c>
      <c r="C12" s="4">
        <f>Costes_26!C12</f>
        <v>750.86</v>
      </c>
      <c r="D12" s="4">
        <f>Costes_26!D12</f>
        <v>71.652307692307716</v>
      </c>
      <c r="E12" s="4">
        <f ca="1">Costes_26!E12</f>
        <v>110.20307692307694</v>
      </c>
      <c r="F12" s="4">
        <f ca="1">Costes_26!F12</f>
        <v>57.365000000000009</v>
      </c>
      <c r="G12" s="4">
        <f ca="1">Costes_26!G12</f>
        <v>215.26576923076925</v>
      </c>
      <c r="H12" s="45">
        <f t="shared" ca="1" si="0"/>
        <v>1205.3461538461538</v>
      </c>
      <c r="I12" s="46">
        <f ca="1">Costes_26!$Q$15*(Costes_26!B12/5)*Costes_26!$P$30</f>
        <v>1098.24</v>
      </c>
      <c r="J12" s="45">
        <f ca="1">Costes_26!$Q$16*(B12/5)*Costes_26!$P$30</f>
        <v>1098.24</v>
      </c>
      <c r="K12" s="45">
        <f ca="1">Costes_26!$Q$17*(B12/5)*Costes_26!$P$30</f>
        <v>1098.24</v>
      </c>
      <c r="L12" s="45">
        <f ca="1">Costes_26!$Q$18*(B12/5)*Costes_26!$P$30</f>
        <v>1098.24</v>
      </c>
      <c r="M12" s="45">
        <f ca="1">Costes_26!$Q$19*(B12/5)*Costes_26!$P$30</f>
        <v>1098.24</v>
      </c>
      <c r="N12" s="45">
        <f ca="1">Costes_26!$Q$20*(B12/5)*Costes_26!$P$30</f>
        <v>1098.24</v>
      </c>
      <c r="O12" s="45">
        <f ca="1">Costes_26!$Q$21*(B12/5)*Costes_26!$P$30</f>
        <v>1262.9759999999999</v>
      </c>
      <c r="P12" s="45">
        <f ca="1">Costes_26!$Q$22*(B12/5)*Costes_26!$P$30</f>
        <v>1153.152</v>
      </c>
      <c r="Q12" s="45">
        <f ca="1">Costes_26!$Q$23*(B12/5)*Costes_26!$P$30</f>
        <v>1208.0639999999999</v>
      </c>
      <c r="R12" s="45">
        <f ca="1">Costes_26!$Q$24*(B12/5)*Costes_26!$P$30</f>
        <v>1098.24</v>
      </c>
      <c r="S12" s="45">
        <f ca="1">Costes_26!$Q$25*(B12/5)*Costes_26!$P$30</f>
        <v>1153.152</v>
      </c>
      <c r="T12" s="45">
        <f ca="1">Costes_26!$Q$26*(B12/5)*Costes_26!$P$30</f>
        <v>1153.152</v>
      </c>
    </row>
    <row r="13" spans="2:20">
      <c r="B13" s="5">
        <f>Costes_26!B13</f>
        <v>32</v>
      </c>
      <c r="C13" s="4">
        <f>Costes_26!C13</f>
        <v>728.10666666666668</v>
      </c>
      <c r="D13" s="4">
        <f>Costes_26!D13</f>
        <v>69.481025641025667</v>
      </c>
      <c r="E13" s="4">
        <f ca="1">Costes_26!E13</f>
        <v>106.86358974358976</v>
      </c>
      <c r="F13" s="4">
        <f ca="1">Costes_26!F13</f>
        <v>55.626666666666779</v>
      </c>
      <c r="G13" s="4">
        <f ca="1">Costes_26!G13</f>
        <v>208.7425641025641</v>
      </c>
      <c r="H13" s="45">
        <f t="shared" ca="1" si="0"/>
        <v>1168.8205128205129</v>
      </c>
      <c r="I13" s="46">
        <f ca="1">Costes_26!$Q$15*(Costes_26!B13/5)*Costes_26!$P$30</f>
        <v>1064.96</v>
      </c>
      <c r="J13" s="45">
        <f ca="1">Costes_26!$Q$16*(B13/5)*Costes_26!$P$30</f>
        <v>1064.96</v>
      </c>
      <c r="K13" s="45">
        <f ca="1">Costes_26!$Q$17*(B13/5)*Costes_26!$P$30</f>
        <v>1064.96</v>
      </c>
      <c r="L13" s="45">
        <f ca="1">Costes_26!$Q$18*(B13/5)*Costes_26!$P$30</f>
        <v>1064.96</v>
      </c>
      <c r="M13" s="45">
        <f ca="1">Costes_26!$Q$19*(B13/5)*Costes_26!$P$30</f>
        <v>1064.96</v>
      </c>
      <c r="N13" s="45">
        <f ca="1">Costes_26!$Q$20*(B13/5)*Costes_26!$P$30</f>
        <v>1064.96</v>
      </c>
      <c r="O13" s="45">
        <f ca="1">Costes_26!$Q$21*(B13/5)*Costes_26!$P$30</f>
        <v>1224.7040000000002</v>
      </c>
      <c r="P13" s="45">
        <f ca="1">Costes_26!$Q$22*(B13/5)*Costes_26!$P$30</f>
        <v>1118.2080000000001</v>
      </c>
      <c r="Q13" s="45">
        <f ca="1">Costes_26!$Q$23*(B13/5)*Costes_26!$P$30</f>
        <v>1171.4560000000001</v>
      </c>
      <c r="R13" s="45">
        <f ca="1">Costes_26!$Q$24*(B13/5)*Costes_26!$P$30</f>
        <v>1064.96</v>
      </c>
      <c r="S13" s="45">
        <f ca="1">Costes_26!$Q$25*(B13/5)*Costes_26!$P$30</f>
        <v>1118.2080000000001</v>
      </c>
      <c r="T13" s="45">
        <f ca="1">Costes_26!$Q$26*(B13/5)*Costes_26!$P$30</f>
        <v>1118.2080000000001</v>
      </c>
    </row>
    <row r="14" spans="2:20">
      <c r="B14" s="5">
        <f>Costes_26!B14</f>
        <v>31</v>
      </c>
      <c r="C14" s="4">
        <f>Costes_26!C14</f>
        <v>705.35333333333335</v>
      </c>
      <c r="D14" s="4">
        <f>Costes_26!D14</f>
        <v>67.309743589743618</v>
      </c>
      <c r="E14" s="4">
        <f ca="1">Costes_26!E14</f>
        <v>103.52410256410258</v>
      </c>
      <c r="F14" s="4">
        <f ca="1">Costes_26!F14</f>
        <v>53.888333333333321</v>
      </c>
      <c r="G14" s="4">
        <f ca="1">Costes_26!G14</f>
        <v>202.21935897435898</v>
      </c>
      <c r="H14" s="45">
        <f t="shared" ca="1" si="0"/>
        <v>1132.2948717948718</v>
      </c>
      <c r="I14" s="46">
        <f ca="1">Costes_26!$Q$15*(Costes_26!B14/5)*Costes_26!$P$30</f>
        <v>1031.68</v>
      </c>
      <c r="J14" s="45">
        <f ca="1">Costes_26!$Q$16*(B14/5)*Costes_26!$P$30</f>
        <v>1031.68</v>
      </c>
      <c r="K14" s="45">
        <f ca="1">Costes_26!$Q$17*(B14/5)*Costes_26!$P$30</f>
        <v>1031.68</v>
      </c>
      <c r="L14" s="45">
        <f ca="1">Costes_26!$Q$18*(B14/5)*Costes_26!$P$30</f>
        <v>1031.68</v>
      </c>
      <c r="M14" s="45">
        <f ca="1">Costes_26!$Q$19*(B14/5)*Costes_26!$P$30</f>
        <v>1031.68</v>
      </c>
      <c r="N14" s="45">
        <f ca="1">Costes_26!$Q$20*(B14/5)*Costes_26!$P$30</f>
        <v>1031.68</v>
      </c>
      <c r="O14" s="45">
        <f ca="1">Costes_26!$Q$21*(B14/5)*Costes_26!$P$30</f>
        <v>1186.432</v>
      </c>
      <c r="P14" s="45">
        <f ca="1">Costes_26!$Q$22*(B14/5)*Costes_26!$P$30</f>
        <v>1083.2640000000001</v>
      </c>
      <c r="Q14" s="45">
        <f ca="1">Costes_26!$Q$23*(B14/5)*Costes_26!$P$30</f>
        <v>1134.8480000000002</v>
      </c>
      <c r="R14" s="45">
        <f ca="1">Costes_26!$Q$24*(B14/5)*Costes_26!$P$30</f>
        <v>1031.68</v>
      </c>
      <c r="S14" s="45">
        <f ca="1">Costes_26!$Q$25*(B14/5)*Costes_26!$P$30</f>
        <v>1083.2640000000001</v>
      </c>
      <c r="T14" s="45">
        <f ca="1">Costes_26!$Q$26*(B14/5)*Costes_26!$P$30</f>
        <v>1083.2640000000001</v>
      </c>
    </row>
    <row r="15" spans="2:20">
      <c r="B15" s="5">
        <f>Costes_26!B15</f>
        <v>30</v>
      </c>
      <c r="C15" s="4">
        <f>Costes_26!C15</f>
        <v>682.6</v>
      </c>
      <c r="D15" s="4">
        <f>Costes_26!D15</f>
        <v>65.13846153846157</v>
      </c>
      <c r="E15" s="4">
        <f ca="1">Costes_26!E15</f>
        <v>100.1846153846154</v>
      </c>
      <c r="F15" s="4">
        <f ca="1">Costes_26!F15</f>
        <v>52.150000000000091</v>
      </c>
      <c r="G15" s="4">
        <f ca="1">Costes_26!G15</f>
        <v>195.69615384615386</v>
      </c>
      <c r="H15" s="45">
        <f t="shared" ca="1" si="0"/>
        <v>1095.7692307692309</v>
      </c>
      <c r="I15" s="46">
        <f ca="1">Costes_26!$Q$15*(Costes_26!B15/5)*Costes_26!$P$30</f>
        <v>998.40000000000009</v>
      </c>
      <c r="J15" s="45">
        <f ca="1">Costes_26!$Q$16*(B15/5)*Costes_26!$P$30</f>
        <v>998.40000000000009</v>
      </c>
      <c r="K15" s="45">
        <f ca="1">Costes_26!$Q$17*(B15/5)*Costes_26!$P$30</f>
        <v>998.40000000000009</v>
      </c>
      <c r="L15" s="45">
        <f ca="1">Costes_26!$Q$18*(B15/5)*Costes_26!$P$30</f>
        <v>998.40000000000009</v>
      </c>
      <c r="M15" s="45">
        <f ca="1">Costes_26!$Q$19*(B15/5)*Costes_26!$P$30</f>
        <v>998.40000000000009</v>
      </c>
      <c r="N15" s="45">
        <f ca="1">Costes_26!$Q$20*(B15/5)*Costes_26!$P$30</f>
        <v>998.40000000000009</v>
      </c>
      <c r="O15" s="45">
        <f ca="1">Costes_26!$Q$21*(B15/5)*Costes_26!$P$30</f>
        <v>1148.1600000000001</v>
      </c>
      <c r="P15" s="45">
        <f ca="1">Costes_26!$Q$22*(B15/5)*Costes_26!$P$30</f>
        <v>1048.32</v>
      </c>
      <c r="Q15" s="45">
        <f ca="1">Costes_26!$Q$23*(B15/5)*Costes_26!$P$30</f>
        <v>1098.24</v>
      </c>
      <c r="R15" s="45">
        <f ca="1">Costes_26!$Q$24*(B15/5)*Costes_26!$P$30</f>
        <v>998.40000000000009</v>
      </c>
      <c r="S15" s="45">
        <f ca="1">Costes_26!$Q$25*(B15/5)*Costes_26!$P$30</f>
        <v>1048.32</v>
      </c>
      <c r="T15" s="45">
        <f ca="1">Costes_26!$Q$26*(B15/5)*Costes_26!$P$30</f>
        <v>1048.32</v>
      </c>
    </row>
    <row r="16" spans="2:20">
      <c r="B16" s="5">
        <f>Costes_26!B16</f>
        <v>29</v>
      </c>
      <c r="C16" s="4">
        <f>Costes_26!C16</f>
        <v>659.84666666666669</v>
      </c>
      <c r="D16" s="4">
        <f>Costes_26!D16</f>
        <v>62.967179487179521</v>
      </c>
      <c r="E16" s="4">
        <f ca="1">Costes_26!E16</f>
        <v>96.845128205128219</v>
      </c>
      <c r="F16" s="4">
        <f ca="1">Costes_26!F16</f>
        <v>50.411666666666633</v>
      </c>
      <c r="G16" s="4">
        <f ca="1">Costes_26!G16</f>
        <v>189.17294871794871</v>
      </c>
      <c r="H16" s="45">
        <f t="shared" ca="1" si="0"/>
        <v>1059.2435897435898</v>
      </c>
      <c r="I16" s="46">
        <f ca="1">Costes_26!$Q$15*(Costes_26!B16/5)*Costes_26!$P$30</f>
        <v>965.12</v>
      </c>
      <c r="J16" s="45">
        <f ca="1">Costes_26!$Q$16*(B16/5)*Costes_26!$P$30</f>
        <v>965.12</v>
      </c>
      <c r="K16" s="45">
        <f ca="1">Costes_26!$Q$17*(B16/5)*Costes_26!$P$30</f>
        <v>965.12</v>
      </c>
      <c r="L16" s="45">
        <f ca="1">Costes_26!$Q$18*(B16/5)*Costes_26!$P$30</f>
        <v>965.12</v>
      </c>
      <c r="M16" s="45">
        <f ca="1">Costes_26!$Q$19*(B16/5)*Costes_26!$P$30</f>
        <v>965.12</v>
      </c>
      <c r="N16" s="45">
        <f ca="1">Costes_26!$Q$20*(B16/5)*Costes_26!$P$30</f>
        <v>965.12</v>
      </c>
      <c r="O16" s="45">
        <f ca="1">Costes_26!$Q$21*(B16/5)*Costes_26!$P$30</f>
        <v>1109.8880000000001</v>
      </c>
      <c r="P16" s="45">
        <f ca="1">Costes_26!$Q$22*(B16/5)*Costes_26!$P$30</f>
        <v>1013.376</v>
      </c>
      <c r="Q16" s="45">
        <f ca="1">Costes_26!$Q$23*(B16/5)*Costes_26!$P$30</f>
        <v>1061.6320000000001</v>
      </c>
      <c r="R16" s="45">
        <f ca="1">Costes_26!$Q$24*(B16/5)*Costes_26!$P$30</f>
        <v>965.12</v>
      </c>
      <c r="S16" s="45">
        <f ca="1">Costes_26!$Q$25*(B16/5)*Costes_26!$P$30</f>
        <v>1013.376</v>
      </c>
      <c r="T16" s="45">
        <f ca="1">Costes_26!$Q$26*(B16/5)*Costes_26!$P$30</f>
        <v>1013.376</v>
      </c>
    </row>
    <row r="17" spans="2:20">
      <c r="B17" s="5">
        <f>Costes_26!B17</f>
        <v>28</v>
      </c>
      <c r="C17" s="4">
        <f>Costes_26!C17</f>
        <v>637.09333333333336</v>
      </c>
      <c r="D17" s="4">
        <f>Costes_26!D17</f>
        <v>60.795897435897473</v>
      </c>
      <c r="E17" s="4">
        <f ca="1">Costes_26!E17</f>
        <v>93.50564102564104</v>
      </c>
      <c r="F17" s="4">
        <f ca="1">Costes_26!F17</f>
        <v>48.673333333333403</v>
      </c>
      <c r="G17" s="4">
        <f ca="1">Costes_26!G17</f>
        <v>182.64974358974359</v>
      </c>
      <c r="H17" s="45">
        <f t="shared" ca="1" si="0"/>
        <v>1022.7179487179488</v>
      </c>
      <c r="I17" s="46">
        <f ca="1">Costes_26!$Q$15*(Costes_26!B17/5)*Costes_26!$P$30</f>
        <v>931.84</v>
      </c>
      <c r="J17" s="45">
        <f ca="1">Costes_26!$Q$16*(B17/5)*Costes_26!$P$30</f>
        <v>931.84</v>
      </c>
      <c r="K17" s="45">
        <f ca="1">Costes_26!$Q$17*(B17/5)*Costes_26!$P$30</f>
        <v>931.84</v>
      </c>
      <c r="L17" s="45">
        <f ca="1">Costes_26!$Q$18*(B17/5)*Costes_26!$P$30</f>
        <v>931.84</v>
      </c>
      <c r="M17" s="45">
        <f ca="1">Costes_26!$Q$19*(B17/5)*Costes_26!$P$30</f>
        <v>931.84</v>
      </c>
      <c r="N17" s="45">
        <f ca="1">Costes_26!$Q$20*(B17/5)*Costes_26!$P$30</f>
        <v>931.84</v>
      </c>
      <c r="O17" s="45">
        <f ca="1">Costes_26!$Q$21*(B17/5)*Costes_26!$P$30</f>
        <v>1071.616</v>
      </c>
      <c r="P17" s="45">
        <f ca="1">Costes_26!$Q$22*(B17/5)*Costes_26!$P$30</f>
        <v>978.43200000000002</v>
      </c>
      <c r="Q17" s="45">
        <f ca="1">Costes_26!$Q$23*(B17/5)*Costes_26!$P$30</f>
        <v>1025.0239999999999</v>
      </c>
      <c r="R17" s="45">
        <f ca="1">Costes_26!$Q$24*(B17/5)*Costes_26!$P$30</f>
        <v>931.84</v>
      </c>
      <c r="S17" s="45">
        <f ca="1">Costes_26!$Q$25*(B17/5)*Costes_26!$P$30</f>
        <v>978.43200000000002</v>
      </c>
      <c r="T17" s="45">
        <f ca="1">Costes_26!$Q$26*(B17/5)*Costes_26!$P$30</f>
        <v>978.43200000000002</v>
      </c>
    </row>
    <row r="18" spans="2:20">
      <c r="B18" s="5">
        <f>Costes_26!B18</f>
        <v>27</v>
      </c>
      <c r="C18" s="4">
        <f>Costes_26!C18</f>
        <v>614.34</v>
      </c>
      <c r="D18" s="4">
        <f>Costes_26!D18</f>
        <v>58.624615384615424</v>
      </c>
      <c r="E18" s="4">
        <f ca="1">Costes_26!E18</f>
        <v>90.166153846153861</v>
      </c>
      <c r="F18" s="4">
        <f ca="1">Costes_26!F18</f>
        <v>46.935000000000059</v>
      </c>
      <c r="G18" s="4">
        <f ca="1">Costes_26!G18</f>
        <v>176.12653846153847</v>
      </c>
      <c r="H18" s="45">
        <f t="shared" ca="1" si="0"/>
        <v>986.19230769230785</v>
      </c>
      <c r="I18" s="46">
        <f ca="1">Costes_26!$Q$15*(Costes_26!B18/5)*Costes_26!$P$30</f>
        <v>898.56000000000006</v>
      </c>
      <c r="J18" s="45">
        <f ca="1">Costes_26!$Q$16*(B18/5)*Costes_26!$P$30</f>
        <v>898.56000000000006</v>
      </c>
      <c r="K18" s="45">
        <f ca="1">Costes_26!$Q$17*(B18/5)*Costes_26!$P$30</f>
        <v>898.56000000000006</v>
      </c>
      <c r="L18" s="45">
        <f ca="1">Costes_26!$Q$18*(B18/5)*Costes_26!$P$30</f>
        <v>898.56000000000006</v>
      </c>
      <c r="M18" s="45">
        <f ca="1">Costes_26!$Q$19*(B18/5)*Costes_26!$P$30</f>
        <v>898.56000000000006</v>
      </c>
      <c r="N18" s="45">
        <f ca="1">Costes_26!$Q$20*(B18/5)*Costes_26!$P$30</f>
        <v>898.56000000000006</v>
      </c>
      <c r="O18" s="45">
        <f ca="1">Costes_26!$Q$21*(B18/5)*Costes_26!$P$30</f>
        <v>1033.3440000000001</v>
      </c>
      <c r="P18" s="45">
        <f ca="1">Costes_26!$Q$22*(B18/5)*Costes_26!$P$30</f>
        <v>943.48800000000006</v>
      </c>
      <c r="Q18" s="45">
        <f ca="1">Costes_26!$Q$23*(B18/5)*Costes_26!$P$30</f>
        <v>988.41600000000017</v>
      </c>
      <c r="R18" s="45">
        <f ca="1">Costes_26!$Q$24*(B18/5)*Costes_26!$P$30</f>
        <v>898.56000000000006</v>
      </c>
      <c r="S18" s="45">
        <f ca="1">Costes_26!$Q$25*(B18/5)*Costes_26!$P$30</f>
        <v>943.48800000000006</v>
      </c>
      <c r="T18" s="45">
        <f ca="1">Costes_26!$Q$26*(B18/5)*Costes_26!$P$30</f>
        <v>943.48800000000006</v>
      </c>
    </row>
    <row r="19" spans="2:20">
      <c r="B19" s="5">
        <f>Costes_26!B19</f>
        <v>26</v>
      </c>
      <c r="C19" s="4">
        <f>Costes_26!C19</f>
        <v>591.5866666666667</v>
      </c>
      <c r="D19" s="4">
        <f>Costes_26!D19</f>
        <v>56.453333333333369</v>
      </c>
      <c r="E19" s="4">
        <f ca="1">Costes_26!E19</f>
        <v>86.826666666666682</v>
      </c>
      <c r="F19" s="4">
        <f ca="1">Costes_26!F19</f>
        <v>45.196666666666601</v>
      </c>
      <c r="G19" s="4">
        <f ca="1">Costes_26!G19</f>
        <v>169.60333333333335</v>
      </c>
      <c r="H19" s="45">
        <f t="shared" ca="1" si="0"/>
        <v>949.66666666666674</v>
      </c>
      <c r="I19" s="46">
        <f ca="1">Costes_26!$Q$15*(Costes_26!B19/5)*Costes_26!$P$30</f>
        <v>865.28</v>
      </c>
      <c r="J19" s="45">
        <f ca="1">Costes_26!$Q$16*(B19/5)*Costes_26!$P$30</f>
        <v>865.28</v>
      </c>
      <c r="K19" s="45">
        <f ca="1">Costes_26!$Q$17*(B19/5)*Costes_26!$P$30</f>
        <v>865.28</v>
      </c>
      <c r="L19" s="45">
        <f ca="1">Costes_26!$Q$18*(B19/5)*Costes_26!$P$30</f>
        <v>865.28</v>
      </c>
      <c r="M19" s="45">
        <f ca="1">Costes_26!$Q$19*(B19/5)*Costes_26!$P$30</f>
        <v>865.28</v>
      </c>
      <c r="N19" s="45">
        <f ca="1">Costes_26!$Q$20*(B19/5)*Costes_26!$P$30</f>
        <v>865.28</v>
      </c>
      <c r="O19" s="45">
        <f ca="1">Costes_26!$Q$21*(B19/5)*Costes_26!$P$30</f>
        <v>995.07200000000012</v>
      </c>
      <c r="P19" s="45">
        <f ca="1">Costes_26!$Q$22*(B19/5)*Costes_26!$P$30</f>
        <v>908.5440000000001</v>
      </c>
      <c r="Q19" s="45">
        <f ca="1">Costes_26!$Q$23*(B19/5)*Costes_26!$P$30</f>
        <v>951.80800000000011</v>
      </c>
      <c r="R19" s="45">
        <f ca="1">Costes_26!$Q$24*(B19/5)*Costes_26!$P$30</f>
        <v>865.28</v>
      </c>
      <c r="S19" s="45">
        <f ca="1">Costes_26!$Q$25*(B19/5)*Costes_26!$P$30</f>
        <v>908.5440000000001</v>
      </c>
      <c r="T19" s="45">
        <f ca="1">Costes_26!$Q$26*(B19/5)*Costes_26!$P$30</f>
        <v>908.5440000000001</v>
      </c>
    </row>
    <row r="20" spans="2:20">
      <c r="B20" s="5">
        <f>Costes_26!B20</f>
        <v>25</v>
      </c>
      <c r="C20" s="4">
        <f>Costes_26!C20</f>
        <v>568.83333333333337</v>
      </c>
      <c r="D20" s="4">
        <f>Costes_26!D20</f>
        <v>54.28205128205132</v>
      </c>
      <c r="E20" s="4">
        <f ca="1">Costes_26!E20</f>
        <v>83.487179487179503</v>
      </c>
      <c r="F20" s="4">
        <f ca="1">Costes_26!F20</f>
        <v>43.458333333333371</v>
      </c>
      <c r="G20" s="4">
        <f ca="1">Costes_26!G20</f>
        <v>163.08012820512823</v>
      </c>
      <c r="H20" s="45">
        <f t="shared" ca="1" si="0"/>
        <v>913.14102564102586</v>
      </c>
      <c r="I20" s="46">
        <f ca="1">Costes_26!$Q$15*(Costes_26!B20/5)*Costes_26!$P$30</f>
        <v>832</v>
      </c>
      <c r="J20" s="45">
        <f ca="1">Costes_26!$Q$16*(B20/5)*Costes_26!$P$30</f>
        <v>832</v>
      </c>
      <c r="K20" s="45">
        <f ca="1">Costes_26!$Q$17*(B20/5)*Costes_26!$P$30</f>
        <v>832</v>
      </c>
      <c r="L20" s="45">
        <f ca="1">Costes_26!$Q$18*(B20/5)*Costes_26!$P$30</f>
        <v>832</v>
      </c>
      <c r="M20" s="45">
        <f ca="1">Costes_26!$Q$19*(B20/5)*Costes_26!$P$30</f>
        <v>832</v>
      </c>
      <c r="N20" s="45">
        <f ca="1">Costes_26!$Q$20*(B20/5)*Costes_26!$P$30</f>
        <v>832</v>
      </c>
      <c r="O20" s="45">
        <f ca="1">Costes_26!$Q$21*(B20/5)*Costes_26!$P$30</f>
        <v>956.80000000000007</v>
      </c>
      <c r="P20" s="45">
        <f ca="1">Costes_26!$Q$22*(B20/5)*Costes_26!$P$30</f>
        <v>873.6</v>
      </c>
      <c r="Q20" s="45">
        <f ca="1">Costes_26!$Q$23*(B20/5)*Costes_26!$P$30</f>
        <v>915.2</v>
      </c>
      <c r="R20" s="45">
        <f ca="1">Costes_26!$Q$24*(B20/5)*Costes_26!$P$30</f>
        <v>832</v>
      </c>
      <c r="S20" s="45">
        <f ca="1">Costes_26!$Q$25*(B20/5)*Costes_26!$P$30</f>
        <v>873.6</v>
      </c>
      <c r="T20" s="45">
        <f ca="1">Costes_26!$Q$26*(B20/5)*Costes_26!$P$30</f>
        <v>873.6</v>
      </c>
    </row>
    <row r="21" spans="2:20">
      <c r="B21" s="5">
        <f>Costes_26!B21</f>
        <v>24</v>
      </c>
      <c r="C21" s="4">
        <f>Costes_26!C21</f>
        <v>546.08000000000004</v>
      </c>
      <c r="D21" s="4">
        <f>Costes_26!D21</f>
        <v>52.110769230769264</v>
      </c>
      <c r="E21" s="4">
        <f ca="1">Costes_26!E21</f>
        <v>80.147692307692324</v>
      </c>
      <c r="F21" s="4">
        <f ca="1">Costes_26!F21</f>
        <v>41.720000000000027</v>
      </c>
      <c r="G21" s="4">
        <f ca="1">Costes_26!G21</f>
        <v>156.55692307692311</v>
      </c>
      <c r="H21" s="45">
        <f t="shared" ca="1" si="0"/>
        <v>876.61538461538476</v>
      </c>
      <c r="I21" s="46">
        <f ca="1">Costes_26!$Q$15*(Costes_26!B21/5)*Costes_26!$P$30</f>
        <v>798.72</v>
      </c>
      <c r="J21" s="45">
        <f ca="1">Costes_26!$Q$16*(B21/5)*Costes_26!$P$30</f>
        <v>798.72</v>
      </c>
      <c r="K21" s="45">
        <f ca="1">Costes_26!$Q$17*(B21/5)*Costes_26!$P$30</f>
        <v>798.72</v>
      </c>
      <c r="L21" s="45">
        <f ca="1">Costes_26!$Q$18*(B21/5)*Costes_26!$P$30</f>
        <v>798.72</v>
      </c>
      <c r="M21" s="45">
        <f ca="1">Costes_26!$Q$19*(B21/5)*Costes_26!$P$30</f>
        <v>798.72</v>
      </c>
      <c r="N21" s="45">
        <f ca="1">Costes_26!$Q$20*(B21/5)*Costes_26!$P$30</f>
        <v>798.72</v>
      </c>
      <c r="O21" s="45">
        <f ca="1">Costes_26!$Q$21*(B21/5)*Costes_26!$P$30</f>
        <v>918.52799999999991</v>
      </c>
      <c r="P21" s="45">
        <f ca="1">Costes_26!$Q$22*(B21/5)*Costes_26!$P$30</f>
        <v>838.65599999999995</v>
      </c>
      <c r="Q21" s="45">
        <f ca="1">Costes_26!$Q$23*(B21/5)*Costes_26!$P$30</f>
        <v>878.59199999999998</v>
      </c>
      <c r="R21" s="45">
        <f ca="1">Costes_26!$Q$24*(B21/5)*Costes_26!$P$30</f>
        <v>798.72</v>
      </c>
      <c r="S21" s="45">
        <f ca="1">Costes_26!$Q$25*(B21/5)*Costes_26!$P$30</f>
        <v>838.65599999999995</v>
      </c>
      <c r="T21" s="45">
        <f ca="1">Costes_26!$Q$26*(B21/5)*Costes_26!$P$30</f>
        <v>838.65599999999995</v>
      </c>
    </row>
    <row r="22" spans="2:20">
      <c r="B22" s="5">
        <f>Costes_26!B22</f>
        <v>23</v>
      </c>
      <c r="C22" s="4">
        <f>Costes_26!C22</f>
        <v>523.32666666666671</v>
      </c>
      <c r="D22" s="4">
        <f>Costes_26!D22</f>
        <v>49.939487179487216</v>
      </c>
      <c r="E22" s="4">
        <f ca="1">Costes_26!E22</f>
        <v>76.808205128205145</v>
      </c>
      <c r="F22" s="4">
        <f ca="1">Costes_26!F22</f>
        <v>39.981666666666683</v>
      </c>
      <c r="G22" s="4">
        <f ca="1">Costes_26!G22</f>
        <v>150.03371794871796</v>
      </c>
      <c r="H22" s="45">
        <f t="shared" ca="1" si="0"/>
        <v>840.08974358974365</v>
      </c>
      <c r="I22" s="46">
        <f ca="1">Costes_26!$Q$15*(Costes_26!B22/5)*Costes_26!$P$30</f>
        <v>765.44</v>
      </c>
      <c r="J22" s="45">
        <f ca="1">Costes_26!$Q$16*(B22/5)*Costes_26!$P$30</f>
        <v>765.44</v>
      </c>
      <c r="K22" s="45">
        <f ca="1">Costes_26!$Q$17*(B22/5)*Costes_26!$P$30</f>
        <v>765.44</v>
      </c>
      <c r="L22" s="45">
        <f ca="1">Costes_26!$Q$18*(B22/5)*Costes_26!$P$30</f>
        <v>765.44</v>
      </c>
      <c r="M22" s="45">
        <f ca="1">Costes_26!$Q$19*(B22/5)*Costes_26!$P$30</f>
        <v>765.44</v>
      </c>
      <c r="N22" s="45">
        <f ca="1">Costes_26!$Q$20*(B22/5)*Costes_26!$P$30</f>
        <v>765.44</v>
      </c>
      <c r="O22" s="45">
        <f ca="1">Costes_26!$Q$21*(B22/5)*Costes_26!$P$30</f>
        <v>880.25599999999997</v>
      </c>
      <c r="P22" s="45">
        <f ca="1">Costes_26!$Q$22*(B22/5)*Costes_26!$P$30</f>
        <v>803.71199999999999</v>
      </c>
      <c r="Q22" s="45">
        <f ca="1">Costes_26!$Q$23*(B22/5)*Costes_26!$P$30</f>
        <v>841.98399999999992</v>
      </c>
      <c r="R22" s="45">
        <f ca="1">Costes_26!$Q$24*(B22/5)*Costes_26!$P$30</f>
        <v>765.44</v>
      </c>
      <c r="S22" s="45">
        <f ca="1">Costes_26!$Q$25*(B22/5)*Costes_26!$P$30</f>
        <v>803.71199999999999</v>
      </c>
      <c r="T22" s="45">
        <f ca="1">Costes_26!$Q$26*(B22/5)*Costes_26!$P$30</f>
        <v>803.71199999999999</v>
      </c>
    </row>
    <row r="23" spans="2:20">
      <c r="B23" s="5">
        <f>Costes_26!B23</f>
        <v>22</v>
      </c>
      <c r="C23" s="4">
        <f>Costes_26!C23</f>
        <v>500.57333333333338</v>
      </c>
      <c r="D23" s="4">
        <f>Costes_26!D23</f>
        <v>47.768205128205167</v>
      </c>
      <c r="E23" s="4">
        <f ca="1">Costes_26!E23</f>
        <v>73.468717948717966</v>
      </c>
      <c r="F23" s="4">
        <f ca="1">Costes_26!F23</f>
        <v>38.243333333333226</v>
      </c>
      <c r="G23" s="4">
        <f ca="1">Costes_26!G23</f>
        <v>143.51051282051287</v>
      </c>
      <c r="H23" s="45">
        <f t="shared" ca="1" si="0"/>
        <v>803.56410256410265</v>
      </c>
      <c r="I23" s="46">
        <f ca="1">Costes_26!$Q$15*(Costes_26!B23/5)*Costes_26!$P$30</f>
        <v>732.16000000000008</v>
      </c>
      <c r="J23" s="45">
        <f ca="1">Costes_26!$Q$16*(B23/5)*Costes_26!$P$30</f>
        <v>732.16000000000008</v>
      </c>
      <c r="K23" s="45">
        <f ca="1">Costes_26!$Q$17*(B23/5)*Costes_26!$P$30</f>
        <v>732.16000000000008</v>
      </c>
      <c r="L23" s="45">
        <f ca="1">Costes_26!$Q$18*(B23/5)*Costes_26!$P$30</f>
        <v>732.16000000000008</v>
      </c>
      <c r="M23" s="45">
        <f ca="1">Costes_26!$Q$19*(B23/5)*Costes_26!$P$30</f>
        <v>732.16000000000008</v>
      </c>
      <c r="N23" s="45">
        <f ca="1">Costes_26!$Q$20*(B23/5)*Costes_26!$P$30</f>
        <v>732.16000000000008</v>
      </c>
      <c r="O23" s="45">
        <f ca="1">Costes_26!$Q$21*(B23/5)*Costes_26!$P$30</f>
        <v>841.98400000000004</v>
      </c>
      <c r="P23" s="45">
        <f ca="1">Costes_26!$Q$22*(B23/5)*Costes_26!$P$30</f>
        <v>768.76800000000003</v>
      </c>
      <c r="Q23" s="45">
        <f ca="1">Costes_26!$Q$23*(B23/5)*Costes_26!$P$30</f>
        <v>805.37600000000009</v>
      </c>
      <c r="R23" s="45">
        <f ca="1">Costes_26!$Q$24*(B23/5)*Costes_26!$P$30</f>
        <v>732.16000000000008</v>
      </c>
      <c r="S23" s="45">
        <f ca="1">Costes_26!$Q$25*(B23/5)*Costes_26!$P$30</f>
        <v>768.76800000000003</v>
      </c>
      <c r="T23" s="45">
        <f ca="1">Costes_26!$Q$26*(B23/5)*Costes_26!$P$30</f>
        <v>768.76800000000003</v>
      </c>
    </row>
    <row r="24" spans="2:20">
      <c r="B24" s="5">
        <f>Costes_26!B24</f>
        <v>21</v>
      </c>
      <c r="C24" s="4">
        <f>Costes_26!C24</f>
        <v>477.82000000000005</v>
      </c>
      <c r="D24" s="4">
        <f>Costes_26!D24</f>
        <v>45.596923076923119</v>
      </c>
      <c r="E24" s="4">
        <f ca="1">Costes_26!E24</f>
        <v>70.129230769230787</v>
      </c>
      <c r="F24" s="4">
        <f ca="1">Costes_26!F24</f>
        <v>36.505000000000109</v>
      </c>
      <c r="G24" s="4">
        <f ca="1">Costes_26!G24</f>
        <v>136.9873076923077</v>
      </c>
      <c r="H24" s="45">
        <f t="shared" ca="1" si="0"/>
        <v>767.03846153846166</v>
      </c>
      <c r="I24" s="46">
        <f ca="1">Costes_26!$Q$15*(Costes_26!B24/5)*Costes_26!$P$30</f>
        <v>698.88</v>
      </c>
      <c r="J24" s="45">
        <f ca="1">Costes_26!$Q$16*(B24/5)*Costes_26!$P$30</f>
        <v>698.88</v>
      </c>
      <c r="K24" s="45">
        <f ca="1">Costes_26!$Q$17*(B24/5)*Costes_26!$P$30</f>
        <v>698.88</v>
      </c>
      <c r="L24" s="45">
        <f ca="1">Costes_26!$Q$18*(B24/5)*Costes_26!$P$30</f>
        <v>698.88</v>
      </c>
      <c r="M24" s="45">
        <f ca="1">Costes_26!$Q$19*(B24/5)*Costes_26!$P$30</f>
        <v>698.88</v>
      </c>
      <c r="N24" s="45">
        <f ca="1">Costes_26!$Q$20*(B24/5)*Costes_26!$P$30</f>
        <v>698.88</v>
      </c>
      <c r="O24" s="45">
        <f ca="1">Costes_26!$Q$21*(B24/5)*Costes_26!$P$30</f>
        <v>803.7120000000001</v>
      </c>
      <c r="P24" s="45">
        <f ca="1">Costes_26!$Q$22*(B24/5)*Costes_26!$P$30</f>
        <v>733.82400000000007</v>
      </c>
      <c r="Q24" s="45">
        <f ca="1">Costes_26!$Q$23*(B24/5)*Costes_26!$P$30</f>
        <v>768.76800000000003</v>
      </c>
      <c r="R24" s="45">
        <f ca="1">Costes_26!$Q$24*(B24/5)*Costes_26!$P$30</f>
        <v>698.88</v>
      </c>
      <c r="S24" s="45">
        <f ca="1">Costes_26!$Q$25*(B24/5)*Costes_26!$P$30</f>
        <v>733.82400000000007</v>
      </c>
      <c r="T24" s="45">
        <f ca="1">Costes_26!$Q$26*(B24/5)*Costes_26!$P$30</f>
        <v>733.82400000000007</v>
      </c>
    </row>
    <row r="25" spans="2:20">
      <c r="B25" s="5">
        <f>Costes_26!B25</f>
        <v>20</v>
      </c>
      <c r="C25" s="4">
        <f>Costes_26!C25</f>
        <v>455.06666666666666</v>
      </c>
      <c r="D25" s="4">
        <f>Costes_26!D25</f>
        <v>43.425641025641063</v>
      </c>
      <c r="E25" s="4">
        <f ca="1">Costes_26!E25</f>
        <v>66.789743589743608</v>
      </c>
      <c r="F25" s="4">
        <f ca="1">Costes_26!F25</f>
        <v>34.766666666666652</v>
      </c>
      <c r="G25" s="4">
        <f ca="1">Costes_26!G25</f>
        <v>130.46410256410257</v>
      </c>
      <c r="H25" s="45">
        <f t="shared" ca="1" si="0"/>
        <v>730.51282051282055</v>
      </c>
      <c r="I25" s="46">
        <f ca="1">Costes_26!$Q$15*(Costes_26!B25/5)*Costes_26!$P$30</f>
        <v>665.6</v>
      </c>
      <c r="J25" s="45">
        <f ca="1">Costes_26!$Q$16*(B25/5)*Costes_26!$P$30</f>
        <v>665.6</v>
      </c>
      <c r="K25" s="45">
        <f ca="1">Costes_26!$Q$17*(B25/5)*Costes_26!$P$30</f>
        <v>665.6</v>
      </c>
      <c r="L25" s="45">
        <f ca="1">Costes_26!$Q$18*(B25/5)*Costes_26!$P$30</f>
        <v>665.6</v>
      </c>
      <c r="M25" s="45">
        <f ca="1">Costes_26!$Q$19*(B25/5)*Costes_26!$P$30</f>
        <v>665.6</v>
      </c>
      <c r="N25" s="45">
        <f ca="1">Costes_26!$Q$20*(B25/5)*Costes_26!$P$30</f>
        <v>665.6</v>
      </c>
      <c r="O25" s="45">
        <f ca="1">Costes_26!$Q$21*(B25/5)*Costes_26!$P$30</f>
        <v>765.44</v>
      </c>
      <c r="P25" s="45">
        <f ca="1">Costes_26!$Q$22*(B25/5)*Costes_26!$P$30</f>
        <v>698.88</v>
      </c>
      <c r="Q25" s="45">
        <f ca="1">Costes_26!$Q$23*(B25/5)*Costes_26!$P$30</f>
        <v>732.16000000000008</v>
      </c>
      <c r="R25" s="45">
        <f ca="1">Costes_26!$Q$24*(B25/5)*Costes_26!$P$30</f>
        <v>665.6</v>
      </c>
      <c r="S25" s="45">
        <f ca="1">Costes_26!$Q$25*(B25/5)*Costes_26!$P$30</f>
        <v>698.88</v>
      </c>
      <c r="T25" s="45">
        <f ca="1">Costes_26!$Q$26*(B25/5)*Costes_26!$P$30</f>
        <v>698.88</v>
      </c>
    </row>
    <row r="26" spans="2:20">
      <c r="B26" s="5">
        <f>Costes_26!B26</f>
        <v>19</v>
      </c>
      <c r="C26" s="4">
        <f>Costes_26!C26</f>
        <v>432.31333333333333</v>
      </c>
      <c r="D26" s="4">
        <f>Costes_26!D26</f>
        <v>41.254358974359008</v>
      </c>
      <c r="E26" s="4">
        <f ca="1">Costes_26!E26</f>
        <v>63.450256410256422</v>
      </c>
      <c r="F26" s="4">
        <f ca="1">Costes_26!F26</f>
        <v>33.028333333333308</v>
      </c>
      <c r="G26" s="4">
        <f ca="1">Costes_26!G26</f>
        <v>123.94089743589743</v>
      </c>
      <c r="H26" s="45">
        <f t="shared" ca="1" si="0"/>
        <v>693.98717948717956</v>
      </c>
      <c r="I26" s="46">
        <f ca="1">Costes_26!$Q$15*(Costes_26!B26/5)*Costes_26!$P$30</f>
        <v>632.32000000000005</v>
      </c>
      <c r="J26" s="45">
        <f ca="1">Costes_26!$Q$16*(B26/5)*Costes_26!$P$30</f>
        <v>632.32000000000005</v>
      </c>
      <c r="K26" s="45">
        <f ca="1">Costes_26!$Q$17*(B26/5)*Costes_26!$P$30</f>
        <v>632.32000000000005</v>
      </c>
      <c r="L26" s="45">
        <f ca="1">Costes_26!$Q$18*(B26/5)*Costes_26!$P$30</f>
        <v>632.32000000000005</v>
      </c>
      <c r="M26" s="45">
        <f ca="1">Costes_26!$Q$19*(B26/5)*Costes_26!$P$30</f>
        <v>632.32000000000005</v>
      </c>
      <c r="N26" s="45">
        <f ca="1">Costes_26!$Q$20*(B26/5)*Costes_26!$P$30</f>
        <v>632.32000000000005</v>
      </c>
      <c r="O26" s="45">
        <f ca="1">Costes_26!$Q$21*(B26/5)*Costes_26!$P$30</f>
        <v>727.16800000000001</v>
      </c>
      <c r="P26" s="45">
        <f ca="1">Costes_26!$Q$22*(B26/5)*Costes_26!$P$30</f>
        <v>663.93600000000004</v>
      </c>
      <c r="Q26" s="45">
        <f ca="1">Costes_26!$Q$23*(B26/5)*Costes_26!$P$30</f>
        <v>695.55200000000002</v>
      </c>
      <c r="R26" s="45">
        <f ca="1">Costes_26!$Q$24*(B26/5)*Costes_26!$P$30</f>
        <v>632.32000000000005</v>
      </c>
      <c r="S26" s="45">
        <f ca="1">Costes_26!$Q$25*(B26/5)*Costes_26!$P$30</f>
        <v>663.93600000000004</v>
      </c>
      <c r="T26" s="45">
        <f ca="1">Costes_26!$Q$26*(B26/5)*Costes_26!$P$30</f>
        <v>663.93600000000004</v>
      </c>
    </row>
    <row r="27" spans="2:20">
      <c r="B27" s="5">
        <f>Costes_26!B27</f>
        <v>18</v>
      </c>
      <c r="C27" s="4">
        <f>Costes_26!C27</f>
        <v>409.56</v>
      </c>
      <c r="D27" s="4">
        <f>Costes_26!D27</f>
        <v>39.083076923076952</v>
      </c>
      <c r="E27" s="4">
        <f ca="1">Costes_26!E27</f>
        <v>60.110769230769236</v>
      </c>
      <c r="F27" s="4">
        <f ca="1">Costes_26!F27</f>
        <v>31.290000000000077</v>
      </c>
      <c r="G27" s="4">
        <f ca="1">Costes_26!G27</f>
        <v>117.41769230769231</v>
      </c>
      <c r="H27" s="45">
        <f t="shared" ca="1" si="0"/>
        <v>657.46153846153857</v>
      </c>
      <c r="I27" s="46">
        <f ca="1">Costes_26!$Q$15*(Costes_26!B27/5)*Costes_26!$P$30</f>
        <v>599.04</v>
      </c>
      <c r="J27" s="45">
        <f ca="1">Costes_26!$Q$16*(B27/5)*Costes_26!$P$30</f>
        <v>599.04</v>
      </c>
      <c r="K27" s="45">
        <f ca="1">Costes_26!$Q$17*(B27/5)*Costes_26!$P$30</f>
        <v>599.04</v>
      </c>
      <c r="L27" s="45">
        <f ca="1">Costes_26!$Q$18*(B27/5)*Costes_26!$P$30</f>
        <v>599.04</v>
      </c>
      <c r="M27" s="45">
        <f ca="1">Costes_26!$Q$19*(B27/5)*Costes_26!$P$30</f>
        <v>599.04</v>
      </c>
      <c r="N27" s="45">
        <f ca="1">Costes_26!$Q$20*(B27/5)*Costes_26!$P$30</f>
        <v>599.04</v>
      </c>
      <c r="O27" s="45">
        <f ca="1">Costes_26!$Q$21*(B27/5)*Costes_26!$P$30</f>
        <v>688.89599999999996</v>
      </c>
      <c r="P27" s="45">
        <f ca="1">Costes_26!$Q$22*(B27/5)*Costes_26!$P$30</f>
        <v>628.99200000000008</v>
      </c>
      <c r="Q27" s="45">
        <f ca="1">Costes_26!$Q$23*(B27/5)*Costes_26!$P$30</f>
        <v>658.94400000000007</v>
      </c>
      <c r="R27" s="45">
        <f ca="1">Costes_26!$Q$24*(B27/5)*Costes_26!$P$30</f>
        <v>599.04</v>
      </c>
      <c r="S27" s="45">
        <f ca="1">Costes_26!$Q$25*(B27/5)*Costes_26!$P$30</f>
        <v>628.99200000000008</v>
      </c>
      <c r="T27" s="45">
        <f ca="1">Costes_26!$Q$26*(B27/5)*Costes_26!$P$30</f>
        <v>628.99200000000008</v>
      </c>
    </row>
    <row r="28" spans="2:20">
      <c r="B28" s="5">
        <f>Costes_26!B28</f>
        <v>17</v>
      </c>
      <c r="C28" s="4">
        <f>Costes_26!C28</f>
        <v>386.80666666666667</v>
      </c>
      <c r="D28" s="4">
        <f>Costes_26!D28</f>
        <v>36.911794871794896</v>
      </c>
      <c r="E28" s="4">
        <f ca="1">Costes_26!E28</f>
        <v>56.771282051282057</v>
      </c>
      <c r="F28" s="4">
        <f ca="1">Costes_26!F28</f>
        <v>29.55166666666662</v>
      </c>
      <c r="G28" s="4">
        <f ca="1">Costes_26!G28</f>
        <v>110.89448717948717</v>
      </c>
      <c r="H28" s="45">
        <f t="shared" ca="1" si="0"/>
        <v>620.93589743589746</v>
      </c>
      <c r="I28" s="46">
        <f ca="1">Costes_26!$Q$15*(Costes_26!B28/5)*Costes_26!$P$30</f>
        <v>565.76</v>
      </c>
      <c r="J28" s="45">
        <f ca="1">Costes_26!$Q$16*(B28/5)*Costes_26!$P$30</f>
        <v>565.76</v>
      </c>
      <c r="K28" s="45">
        <f ca="1">Costes_26!$Q$17*(B28/5)*Costes_26!$P$30</f>
        <v>565.76</v>
      </c>
      <c r="L28" s="45">
        <f ca="1">Costes_26!$Q$18*(B28/5)*Costes_26!$P$30</f>
        <v>565.76</v>
      </c>
      <c r="M28" s="45">
        <f ca="1">Costes_26!$Q$19*(B28/5)*Costes_26!$P$30</f>
        <v>565.76</v>
      </c>
      <c r="N28" s="45">
        <f ca="1">Costes_26!$Q$20*(B28/5)*Costes_26!$P$30</f>
        <v>565.76</v>
      </c>
      <c r="O28" s="45">
        <f ca="1">Costes_26!$Q$21*(B28/5)*Costes_26!$P$30</f>
        <v>650.62400000000002</v>
      </c>
      <c r="P28" s="45">
        <f ca="1">Costes_26!$Q$22*(B28/5)*Costes_26!$P$30</f>
        <v>594.048</v>
      </c>
      <c r="Q28" s="45">
        <f ca="1">Costes_26!$Q$23*(B28/5)*Costes_26!$P$30</f>
        <v>622.33600000000001</v>
      </c>
      <c r="R28" s="45">
        <f ca="1">Costes_26!$Q$24*(B28/5)*Costes_26!$P$30</f>
        <v>565.76</v>
      </c>
      <c r="S28" s="45">
        <f ca="1">Costes_26!$Q$25*(B28/5)*Costes_26!$P$30</f>
        <v>594.048</v>
      </c>
      <c r="T28" s="45">
        <f ca="1">Costes_26!$Q$26*(B28/5)*Costes_26!$P$30</f>
        <v>594.048</v>
      </c>
    </row>
    <row r="29" spans="2:20">
      <c r="B29" s="5">
        <f>Costes_26!B29</f>
        <v>16</v>
      </c>
      <c r="C29" s="4">
        <f>Costes_26!C29</f>
        <v>364.05333333333334</v>
      </c>
      <c r="D29" s="4">
        <f>Costes_26!D29</f>
        <v>34.740512820512841</v>
      </c>
      <c r="E29" s="4">
        <f ca="1">Costes_26!E29</f>
        <v>53.431794871794878</v>
      </c>
      <c r="F29" s="4">
        <f ca="1">Costes_26!F29</f>
        <v>27.813333333333389</v>
      </c>
      <c r="G29" s="4">
        <f ca="1">Costes_26!G29</f>
        <v>104.37128205128205</v>
      </c>
      <c r="H29" s="45">
        <f t="shared" ca="1" si="0"/>
        <v>584.41025641025647</v>
      </c>
      <c r="I29" s="46">
        <f ca="1">Costes_26!$Q$15*(Costes_26!B29/5)*Costes_26!$P$30</f>
        <v>532.48</v>
      </c>
      <c r="J29" s="45">
        <f ca="1">Costes_26!$Q$16*(B29/5)*Costes_26!$P$30</f>
        <v>532.48</v>
      </c>
      <c r="K29" s="45">
        <f ca="1">Costes_26!$Q$17*(B29/5)*Costes_26!$P$30</f>
        <v>532.48</v>
      </c>
      <c r="L29" s="45">
        <f ca="1">Costes_26!$Q$18*(B29/5)*Costes_26!$P$30</f>
        <v>532.48</v>
      </c>
      <c r="M29" s="45">
        <f ca="1">Costes_26!$Q$19*(B29/5)*Costes_26!$P$30</f>
        <v>532.48</v>
      </c>
      <c r="N29" s="45">
        <f ca="1">Costes_26!$Q$20*(B29/5)*Costes_26!$P$30</f>
        <v>532.48</v>
      </c>
      <c r="O29" s="45">
        <f ca="1">Costes_26!$Q$21*(B29/5)*Costes_26!$P$30</f>
        <v>612.35200000000009</v>
      </c>
      <c r="P29" s="45">
        <f ca="1">Costes_26!$Q$22*(B29/5)*Costes_26!$P$30</f>
        <v>559.10400000000004</v>
      </c>
      <c r="Q29" s="45">
        <f ca="1">Costes_26!$Q$23*(B29/5)*Costes_26!$P$30</f>
        <v>585.72800000000007</v>
      </c>
      <c r="R29" s="45">
        <f ca="1">Costes_26!$Q$24*(B29/5)*Costes_26!$P$30</f>
        <v>532.48</v>
      </c>
      <c r="S29" s="45">
        <f ca="1">Costes_26!$Q$25*(B29/5)*Costes_26!$P$30</f>
        <v>559.10400000000004</v>
      </c>
      <c r="T29" s="45">
        <f ca="1">Costes_26!$Q$26*(B29/5)*Costes_26!$P$30</f>
        <v>559.10400000000004</v>
      </c>
    </row>
    <row r="30" spans="2:20">
      <c r="B30" s="5">
        <f>Costes_26!B30</f>
        <v>15</v>
      </c>
      <c r="C30" s="4">
        <f>Costes_26!C30</f>
        <v>341.3</v>
      </c>
      <c r="D30" s="4">
        <f>Costes_26!D30</f>
        <v>32.569230769230785</v>
      </c>
      <c r="E30" s="4">
        <f ca="1">Costes_26!E30</f>
        <v>50.092307692307699</v>
      </c>
      <c r="F30" s="4">
        <f ca="1">Costes_26!F30</f>
        <v>26.075000000000045</v>
      </c>
      <c r="G30" s="4">
        <f ca="1">Costes_26!G30</f>
        <v>97.848076923076931</v>
      </c>
      <c r="H30" s="45">
        <f t="shared" ca="1" si="0"/>
        <v>547.88461538461547</v>
      </c>
      <c r="I30" s="46">
        <f ca="1">Costes_26!$Q$15*(Costes_26!B30/5)*Costes_26!$P$30</f>
        <v>499.20000000000005</v>
      </c>
      <c r="J30" s="45">
        <f ca="1">Costes_26!$Q$16*(B30/5)*Costes_26!$P$30</f>
        <v>499.20000000000005</v>
      </c>
      <c r="K30" s="45">
        <f ca="1">Costes_26!$Q$17*(B30/5)*Costes_26!$P$30</f>
        <v>499.20000000000005</v>
      </c>
      <c r="L30" s="45">
        <f ca="1">Costes_26!$Q$18*(B30/5)*Costes_26!$P$30</f>
        <v>499.20000000000005</v>
      </c>
      <c r="M30" s="45">
        <f ca="1">Costes_26!$Q$19*(B30/5)*Costes_26!$P$30</f>
        <v>499.20000000000005</v>
      </c>
      <c r="N30" s="45">
        <f ca="1">Costes_26!$Q$20*(B30/5)*Costes_26!$P$30</f>
        <v>499.20000000000005</v>
      </c>
      <c r="O30" s="45">
        <f ca="1">Costes_26!$Q$21*(B30/5)*Costes_26!$P$30</f>
        <v>574.08000000000004</v>
      </c>
      <c r="P30" s="45">
        <f ca="1">Costes_26!$Q$22*(B30/5)*Costes_26!$P$30</f>
        <v>524.16</v>
      </c>
      <c r="Q30" s="45">
        <f ca="1">Costes_26!$Q$23*(B30/5)*Costes_26!$P$30</f>
        <v>549.12</v>
      </c>
      <c r="R30" s="45">
        <f ca="1">Costes_26!$Q$24*(B30/5)*Costes_26!$P$30</f>
        <v>499.20000000000005</v>
      </c>
      <c r="S30" s="45">
        <f ca="1">Costes_26!$Q$25*(B30/5)*Costes_26!$P$30</f>
        <v>524.16</v>
      </c>
      <c r="T30" s="45">
        <f ca="1">Costes_26!$Q$26*(B30/5)*Costes_26!$P$30</f>
        <v>524.16</v>
      </c>
    </row>
    <row r="31" spans="2:20">
      <c r="B31" s="5">
        <f>Costes_26!B31</f>
        <v>14</v>
      </c>
      <c r="C31" s="4">
        <f>Costes_26!C31</f>
        <v>318.54666666666668</v>
      </c>
      <c r="D31" s="4">
        <f>Costes_26!D31</f>
        <v>30.397948717948733</v>
      </c>
      <c r="E31" s="4">
        <f ca="1">Costes_26!E31</f>
        <v>46.75282051282052</v>
      </c>
      <c r="F31" s="4">
        <f ca="1">Costes_26!F31</f>
        <v>24.336666666666702</v>
      </c>
      <c r="G31" s="4">
        <f ca="1">Costes_26!G31</f>
        <v>91.324871794871797</v>
      </c>
      <c r="H31" s="45">
        <f t="shared" ca="1" si="0"/>
        <v>511.35897435897442</v>
      </c>
      <c r="I31" s="46">
        <f ca="1">Costes_26!$Q$15*(Costes_26!B31/5)*Costes_26!$P$30</f>
        <v>465.92</v>
      </c>
      <c r="J31" s="45">
        <f ca="1">Costes_26!$Q$16*(B31/5)*Costes_26!$P$30</f>
        <v>465.92</v>
      </c>
      <c r="K31" s="45">
        <f ca="1">Costes_26!$Q$17*(B31/5)*Costes_26!$P$30</f>
        <v>465.92</v>
      </c>
      <c r="L31" s="45">
        <f ca="1">Costes_26!$Q$18*(B31/5)*Costes_26!$P$30</f>
        <v>465.92</v>
      </c>
      <c r="M31" s="45">
        <f ca="1">Costes_26!$Q$19*(B31/5)*Costes_26!$P$30</f>
        <v>465.92</v>
      </c>
      <c r="N31" s="45">
        <f ca="1">Costes_26!$Q$20*(B31/5)*Costes_26!$P$30</f>
        <v>465.92</v>
      </c>
      <c r="O31" s="45">
        <f ca="1">Costes_26!$Q$21*(B31/5)*Costes_26!$P$30</f>
        <v>535.80799999999999</v>
      </c>
      <c r="P31" s="45">
        <f ca="1">Costes_26!$Q$22*(B31/5)*Costes_26!$P$30</f>
        <v>489.21600000000001</v>
      </c>
      <c r="Q31" s="45">
        <f ca="1">Costes_26!$Q$23*(B31/5)*Costes_26!$P$30</f>
        <v>512.51199999999994</v>
      </c>
      <c r="R31" s="45">
        <f ca="1">Costes_26!$Q$24*(B31/5)*Costes_26!$P$30</f>
        <v>465.92</v>
      </c>
      <c r="S31" s="45">
        <f ca="1">Costes_26!$Q$25*(B31/5)*Costes_26!$P$30</f>
        <v>489.21600000000001</v>
      </c>
      <c r="T31" s="45">
        <f ca="1">Costes_26!$Q$26*(B31/5)*Costes_26!$P$30</f>
        <v>489.21600000000001</v>
      </c>
    </row>
    <row r="32" spans="2:20">
      <c r="B32" s="5">
        <f>Costes_26!B32</f>
        <v>13</v>
      </c>
      <c r="C32" s="4">
        <f>Costes_26!C32</f>
        <v>295.79333333333335</v>
      </c>
      <c r="D32" s="4">
        <f>Costes_26!D32</f>
        <v>28.226666666666681</v>
      </c>
      <c r="E32" s="4">
        <f ca="1">Costes_26!E32</f>
        <v>43.413333333333341</v>
      </c>
      <c r="F32" s="4">
        <f ca="1">Costes_26!F32</f>
        <v>22.598333333333301</v>
      </c>
      <c r="G32" s="4">
        <f ca="1">Costes_26!G32</f>
        <v>84.801666666666677</v>
      </c>
      <c r="H32" s="45">
        <f t="shared" ca="1" si="0"/>
        <v>474.83333333333337</v>
      </c>
      <c r="I32" s="46">
        <f ca="1">Costes_26!$Q$15*(Costes_26!B32/5)*Costes_26!$P$30</f>
        <v>432.64</v>
      </c>
      <c r="J32" s="45">
        <f ca="1">Costes_26!$Q$16*(B32/5)*Costes_26!$P$30</f>
        <v>432.64</v>
      </c>
      <c r="K32" s="45">
        <f ca="1">Costes_26!$Q$17*(B32/5)*Costes_26!$P$30</f>
        <v>432.64</v>
      </c>
      <c r="L32" s="45">
        <f ca="1">Costes_26!$Q$18*(B32/5)*Costes_26!$P$30</f>
        <v>432.64</v>
      </c>
      <c r="M32" s="45">
        <f ca="1">Costes_26!$Q$19*(B32/5)*Costes_26!$P$30</f>
        <v>432.64</v>
      </c>
      <c r="N32" s="45">
        <f ca="1">Costes_26!$Q$20*(B32/5)*Costes_26!$P$30</f>
        <v>432.64</v>
      </c>
      <c r="O32" s="45">
        <f ca="1">Costes_26!$Q$21*(B32/5)*Costes_26!$P$30</f>
        <v>497.53600000000006</v>
      </c>
      <c r="P32" s="45">
        <f ca="1">Costes_26!$Q$22*(B32/5)*Costes_26!$P$30</f>
        <v>454.27200000000005</v>
      </c>
      <c r="Q32" s="45">
        <f ca="1">Costes_26!$Q$23*(B32/5)*Costes_26!$P$30</f>
        <v>475.90400000000005</v>
      </c>
      <c r="R32" s="45">
        <f ca="1">Costes_26!$Q$24*(B32/5)*Costes_26!$P$30</f>
        <v>432.64</v>
      </c>
      <c r="S32" s="45">
        <f ca="1">Costes_26!$Q$25*(B32/5)*Costes_26!$P$30</f>
        <v>454.27200000000005</v>
      </c>
      <c r="T32" s="45">
        <f ca="1">Costes_26!$Q$26*(B32/5)*Costes_26!$P$30</f>
        <v>454.27200000000005</v>
      </c>
    </row>
    <row r="33" spans="2:20">
      <c r="B33" s="5">
        <f>Costes_26!B33</f>
        <v>12</v>
      </c>
      <c r="C33" s="4">
        <f>Costes_26!C33</f>
        <v>273.04000000000002</v>
      </c>
      <c r="D33" s="4">
        <f>Costes_26!D33</f>
        <v>26.055384615384629</v>
      </c>
      <c r="E33" s="4">
        <f ca="1">Costes_26!E33</f>
        <v>40.073846153846162</v>
      </c>
      <c r="F33" s="4">
        <f ca="1">Costes_26!F33</f>
        <v>20.860000000000014</v>
      </c>
      <c r="G33" s="4">
        <f ca="1">Costes_26!G33</f>
        <v>78.278461538461556</v>
      </c>
      <c r="H33" s="45">
        <f t="shared" ca="1" si="0"/>
        <v>438.30769230769238</v>
      </c>
      <c r="I33" s="46">
        <f ca="1">Costes_26!$Q$15*(Costes_26!B33/5)*Costes_26!$P$30</f>
        <v>399.36</v>
      </c>
      <c r="J33" s="45">
        <f ca="1">Costes_26!$Q$16*(B33/5)*Costes_26!$P$30</f>
        <v>399.36</v>
      </c>
      <c r="K33" s="45">
        <f ca="1">Costes_26!$Q$17*(B33/5)*Costes_26!$P$30</f>
        <v>399.36</v>
      </c>
      <c r="L33" s="45">
        <f ca="1">Costes_26!$Q$18*(B33/5)*Costes_26!$P$30</f>
        <v>399.36</v>
      </c>
      <c r="M33" s="45">
        <f ca="1">Costes_26!$Q$19*(B33/5)*Costes_26!$P$30</f>
        <v>399.36</v>
      </c>
      <c r="N33" s="45">
        <f ca="1">Costes_26!$Q$20*(B33/5)*Costes_26!$P$30</f>
        <v>399.36</v>
      </c>
      <c r="O33" s="45">
        <f ca="1">Costes_26!$Q$21*(B33/5)*Costes_26!$P$30</f>
        <v>459.26399999999995</v>
      </c>
      <c r="P33" s="45">
        <f ca="1">Costes_26!$Q$22*(B33/5)*Costes_26!$P$30</f>
        <v>419.32799999999997</v>
      </c>
      <c r="Q33" s="45">
        <f ca="1">Costes_26!$Q$23*(B33/5)*Costes_26!$P$30</f>
        <v>439.29599999999999</v>
      </c>
      <c r="R33" s="45">
        <f ca="1">Costes_26!$Q$24*(B33/5)*Costes_26!$P$30</f>
        <v>399.36</v>
      </c>
      <c r="S33" s="45">
        <f ca="1">Costes_26!$Q$25*(B33/5)*Costes_26!$P$30</f>
        <v>419.32799999999997</v>
      </c>
      <c r="T33" s="45">
        <f ca="1">Costes_26!$Q$26*(B33/5)*Costes_26!$P$30</f>
        <v>419.32799999999997</v>
      </c>
    </row>
    <row r="34" spans="2:20">
      <c r="B34" s="5">
        <f>Costes_26!B34</f>
        <v>11</v>
      </c>
      <c r="C34" s="4">
        <f>Costes_26!C34</f>
        <v>250.28666666666666</v>
      </c>
      <c r="D34" s="4">
        <f>Costes_26!D34</f>
        <v>23.884102564102577</v>
      </c>
      <c r="E34" s="4">
        <f ca="1">Costes_26!E34</f>
        <v>36.734358974358983</v>
      </c>
      <c r="F34" s="4">
        <f ca="1">Costes_26!F34</f>
        <v>19.121666666666727</v>
      </c>
      <c r="G34" s="4">
        <f ca="1">Costes_26!G34</f>
        <v>71.755256410256408</v>
      </c>
      <c r="H34" s="45">
        <f t="shared" ca="1" si="0"/>
        <v>401.78205128205138</v>
      </c>
      <c r="I34" s="46">
        <f ca="1">Costes_26!$Q$15*(Costes_26!B34/5)*Costes_26!$P$30</f>
        <v>366.08000000000004</v>
      </c>
      <c r="J34" s="45">
        <f ca="1">Costes_26!$Q$16*(B34/5)*Costes_26!$P$30</f>
        <v>366.08000000000004</v>
      </c>
      <c r="K34" s="45">
        <f ca="1">Costes_26!$Q$17*(B34/5)*Costes_26!$P$30</f>
        <v>366.08000000000004</v>
      </c>
      <c r="L34" s="45">
        <f ca="1">Costes_26!$Q$18*(B34/5)*Costes_26!$P$30</f>
        <v>366.08000000000004</v>
      </c>
      <c r="M34" s="45">
        <f ca="1">Costes_26!$Q$19*(B34/5)*Costes_26!$P$30</f>
        <v>366.08000000000004</v>
      </c>
      <c r="N34" s="45">
        <f ca="1">Costes_26!$Q$20*(B34/5)*Costes_26!$P$30</f>
        <v>366.08000000000004</v>
      </c>
      <c r="O34" s="45">
        <f ca="1">Costes_26!$Q$21*(B34/5)*Costes_26!$P$30</f>
        <v>420.99200000000002</v>
      </c>
      <c r="P34" s="45">
        <f ca="1">Costes_26!$Q$22*(B34/5)*Costes_26!$P$30</f>
        <v>384.38400000000001</v>
      </c>
      <c r="Q34" s="45">
        <f ca="1">Costes_26!$Q$23*(B34/5)*Costes_26!$P$30</f>
        <v>402.68800000000005</v>
      </c>
      <c r="R34" s="45">
        <f ca="1">Costes_26!$Q$24*(B34/5)*Costes_26!$P$30</f>
        <v>366.08000000000004</v>
      </c>
      <c r="S34" s="45">
        <f ca="1">Costes_26!$Q$25*(B34/5)*Costes_26!$P$30</f>
        <v>384.38400000000001</v>
      </c>
      <c r="T34" s="45">
        <f ca="1">Costes_26!$Q$26*(B34/5)*Costes_26!$P$30</f>
        <v>384.38400000000001</v>
      </c>
    </row>
    <row r="35" spans="2:20">
      <c r="B35" s="5">
        <f>Costes_26!B35</f>
        <v>10</v>
      </c>
      <c r="C35" s="4">
        <f>Costes_26!C35</f>
        <v>227.53333333333333</v>
      </c>
      <c r="D35" s="4">
        <f>Costes_26!D35</f>
        <v>21.712820512820524</v>
      </c>
      <c r="E35" s="4">
        <f ca="1">Costes_26!E35</f>
        <v>33.394871794871804</v>
      </c>
      <c r="F35" s="4">
        <f ca="1">Costes_26!F35</f>
        <v>17.383333333333326</v>
      </c>
      <c r="G35" s="4">
        <f ca="1">Costes_26!G35</f>
        <v>65.232051282051287</v>
      </c>
      <c r="H35" s="45">
        <f t="shared" ca="1" si="0"/>
        <v>365.25641025641028</v>
      </c>
      <c r="I35" s="46">
        <f ca="1">Costes_26!$Q$15*(Costes_26!B35/5)*Costes_26!$P$30</f>
        <v>332.8</v>
      </c>
      <c r="J35" s="45">
        <f ca="1">Costes_26!$Q$16*(B35/5)*Costes_26!$P$30</f>
        <v>332.8</v>
      </c>
      <c r="K35" s="45">
        <f ca="1">Costes_26!$Q$17*(B35/5)*Costes_26!$P$30</f>
        <v>332.8</v>
      </c>
      <c r="L35" s="45">
        <f ca="1">Costes_26!$Q$18*(B35/5)*Costes_26!$P$30</f>
        <v>332.8</v>
      </c>
      <c r="M35" s="45">
        <f ca="1">Costes_26!$Q$19*(B35/5)*Costes_26!$P$30</f>
        <v>332.8</v>
      </c>
      <c r="N35" s="45">
        <f ca="1">Costes_26!$Q$20*(B35/5)*Costes_26!$P$30</f>
        <v>332.8</v>
      </c>
      <c r="O35" s="45">
        <f ca="1">Costes_26!$Q$21*(B35/5)*Costes_26!$P$30</f>
        <v>382.72</v>
      </c>
      <c r="P35" s="45">
        <f ca="1">Costes_26!$Q$22*(B35/5)*Costes_26!$P$30</f>
        <v>349.44</v>
      </c>
      <c r="Q35" s="45">
        <f ca="1">Costes_26!$Q$23*(B35/5)*Costes_26!$P$30</f>
        <v>366.08000000000004</v>
      </c>
      <c r="R35" s="45">
        <f ca="1">Costes_26!$Q$24*(B35/5)*Costes_26!$P$30</f>
        <v>332.8</v>
      </c>
      <c r="S35" s="45">
        <f ca="1">Costes_26!$Q$25*(B35/5)*Costes_26!$P$30</f>
        <v>349.44</v>
      </c>
      <c r="T35" s="45">
        <f ca="1">Costes_26!$Q$26*(B35/5)*Costes_26!$P$30</f>
        <v>349.44</v>
      </c>
    </row>
    <row r="36" spans="2:20">
      <c r="B36" s="5">
        <f>Costes_26!B36</f>
        <v>9</v>
      </c>
      <c r="C36" s="4">
        <f>Costes_26!C36</f>
        <v>204.78</v>
      </c>
      <c r="D36" s="4">
        <f>Costes_26!D36</f>
        <v>19.541538461538472</v>
      </c>
      <c r="E36" s="4">
        <f ca="1">Costes_26!E36</f>
        <v>30.055384615384625</v>
      </c>
      <c r="F36" s="4">
        <f ca="1">Costes_26!F36</f>
        <v>15.645000000000039</v>
      </c>
      <c r="G36" s="4">
        <f ca="1">Costes_26!G36</f>
        <v>58.708846153846153</v>
      </c>
      <c r="H36" s="45">
        <f t="shared" ca="1" si="0"/>
        <v>328.73076923076928</v>
      </c>
      <c r="I36" s="46">
        <f ca="1">Costes_26!$Q$15*(Costes_26!B36/5)*Costes_26!$P$30</f>
        <v>299.52</v>
      </c>
      <c r="J36" s="45">
        <f ca="1">Costes_26!$Q$16*(B36/5)*Costes_26!$P$30</f>
        <v>299.52</v>
      </c>
      <c r="K36" s="45">
        <f ca="1">Costes_26!$Q$17*(B36/5)*Costes_26!$P$30</f>
        <v>299.52</v>
      </c>
      <c r="L36" s="45">
        <f ca="1">Costes_26!$Q$18*(B36/5)*Costes_26!$P$30</f>
        <v>299.52</v>
      </c>
      <c r="M36" s="45">
        <f ca="1">Costes_26!$Q$19*(B36/5)*Costes_26!$P$30</f>
        <v>299.52</v>
      </c>
      <c r="N36" s="45">
        <f ca="1">Costes_26!$Q$20*(B36/5)*Costes_26!$P$30</f>
        <v>299.52</v>
      </c>
      <c r="O36" s="45">
        <f ca="1">Costes_26!$Q$21*(B36/5)*Costes_26!$P$30</f>
        <v>344.44799999999998</v>
      </c>
      <c r="P36" s="45">
        <f ca="1">Costes_26!$Q$22*(B36/5)*Costes_26!$P$30</f>
        <v>314.49600000000004</v>
      </c>
      <c r="Q36" s="45">
        <f ca="1">Costes_26!$Q$23*(B36/5)*Costes_26!$P$30</f>
        <v>329.47200000000004</v>
      </c>
      <c r="R36" s="45">
        <f ca="1">Costes_26!$Q$24*(B36/5)*Costes_26!$P$30</f>
        <v>299.52</v>
      </c>
      <c r="S36" s="45">
        <f ca="1">Costes_26!$Q$25*(B36/5)*Costes_26!$P$30</f>
        <v>314.49600000000004</v>
      </c>
      <c r="T36" s="45">
        <f ca="1">Costes_26!$Q$26*(B36/5)*Costes_26!$P$30</f>
        <v>314.49600000000004</v>
      </c>
    </row>
    <row r="37" spans="2:20">
      <c r="B37" s="5">
        <f>Costes_26!B37</f>
        <v>8</v>
      </c>
      <c r="C37" s="4">
        <f>Costes_26!C37</f>
        <v>182.02666666666667</v>
      </c>
      <c r="D37" s="4">
        <f>Costes_26!D37</f>
        <v>17.37025641025642</v>
      </c>
      <c r="E37" s="4">
        <f ca="1">Costes_26!E37</f>
        <v>26.715897435897443</v>
      </c>
      <c r="F37" s="4">
        <f ca="1">Costes_26!F37</f>
        <v>13.906666666666695</v>
      </c>
      <c r="G37" s="4">
        <f ca="1">Costes_26!G37</f>
        <v>52.185641025641026</v>
      </c>
      <c r="H37" s="45">
        <f t="shared" ca="1" si="0"/>
        <v>292.20512820512823</v>
      </c>
      <c r="I37" s="46">
        <f ca="1">Costes_26!$Q$15*(Costes_26!B37/5)*Costes_26!$P$30</f>
        <v>266.24</v>
      </c>
      <c r="J37" s="45">
        <f ca="1">Costes_26!$Q$16*(B37/5)*Costes_26!$P$30</f>
        <v>266.24</v>
      </c>
      <c r="K37" s="45">
        <f ca="1">Costes_26!$Q$17*(B37/5)*Costes_26!$P$30</f>
        <v>266.24</v>
      </c>
      <c r="L37" s="45">
        <f ca="1">Costes_26!$Q$18*(B37/5)*Costes_26!$P$30</f>
        <v>266.24</v>
      </c>
      <c r="M37" s="45">
        <f ca="1">Costes_26!$Q$19*(B37/5)*Costes_26!$P$30</f>
        <v>266.24</v>
      </c>
      <c r="N37" s="45">
        <f ca="1">Costes_26!$Q$20*(B37/5)*Costes_26!$P$30</f>
        <v>266.24</v>
      </c>
      <c r="O37" s="45">
        <f ca="1">Costes_26!$Q$21*(B37/5)*Costes_26!$P$30</f>
        <v>306.17600000000004</v>
      </c>
      <c r="P37" s="45">
        <f ca="1">Costes_26!$Q$22*(B37/5)*Costes_26!$P$30</f>
        <v>279.55200000000002</v>
      </c>
      <c r="Q37" s="45">
        <f ca="1">Costes_26!$Q$23*(B37/5)*Costes_26!$P$30</f>
        <v>292.86400000000003</v>
      </c>
      <c r="R37" s="45">
        <f ca="1">Costes_26!$Q$24*(B37/5)*Costes_26!$P$30</f>
        <v>266.24</v>
      </c>
      <c r="S37" s="45">
        <f ca="1">Costes_26!$Q$25*(B37/5)*Costes_26!$P$30</f>
        <v>279.55200000000002</v>
      </c>
      <c r="T37" s="45">
        <f ca="1">Costes_26!$Q$26*(B37/5)*Costes_26!$P$30</f>
        <v>279.55200000000002</v>
      </c>
    </row>
    <row r="38" spans="2:20">
      <c r="B38" s="5">
        <f>Costes_26!B38</f>
        <v>7</v>
      </c>
      <c r="C38" s="4">
        <f>Costes_26!C38</f>
        <v>159.27333333333334</v>
      </c>
      <c r="D38" s="4">
        <f>Costes_26!D38</f>
        <v>15.198974358974368</v>
      </c>
      <c r="E38" s="4">
        <f ca="1">Costes_26!E38</f>
        <v>23.376410256410264</v>
      </c>
      <c r="F38" s="4">
        <f ca="1">Costes_26!F38</f>
        <v>12.168333333333351</v>
      </c>
      <c r="G38" s="4">
        <f ca="1">Costes_26!G38</f>
        <v>45.662435897435898</v>
      </c>
      <c r="H38" s="45">
        <f t="shared" ca="1" si="0"/>
        <v>255.67948717948721</v>
      </c>
      <c r="I38" s="46">
        <f ca="1">Costes_26!$Q$15*(Costes_26!B38/5)*Costes_26!$P$30</f>
        <v>232.96</v>
      </c>
      <c r="J38" s="45">
        <f ca="1">Costes_26!$Q$16*(B38/5)*Costes_26!$P$30</f>
        <v>232.96</v>
      </c>
      <c r="K38" s="45">
        <f ca="1">Costes_26!$Q$17*(B38/5)*Costes_26!$P$30</f>
        <v>232.96</v>
      </c>
      <c r="L38" s="45">
        <f ca="1">Costes_26!$Q$18*(B38/5)*Costes_26!$P$30</f>
        <v>232.96</v>
      </c>
      <c r="M38" s="45">
        <f ca="1">Costes_26!$Q$19*(B38/5)*Costes_26!$P$30</f>
        <v>232.96</v>
      </c>
      <c r="N38" s="45">
        <f ca="1">Costes_26!$Q$20*(B38/5)*Costes_26!$P$30</f>
        <v>232.96</v>
      </c>
      <c r="O38" s="45">
        <f ca="1">Costes_26!$Q$21*(B38/5)*Costes_26!$P$30</f>
        <v>267.904</v>
      </c>
      <c r="P38" s="45">
        <f ca="1">Costes_26!$Q$22*(B38/5)*Costes_26!$P$30</f>
        <v>244.608</v>
      </c>
      <c r="Q38" s="45">
        <f ca="1">Costes_26!$Q$23*(B38/5)*Costes_26!$P$30</f>
        <v>256.25599999999997</v>
      </c>
      <c r="R38" s="45">
        <f ca="1">Costes_26!$Q$24*(B38/5)*Costes_26!$P$30</f>
        <v>232.96</v>
      </c>
      <c r="S38" s="45">
        <f ca="1">Costes_26!$Q$25*(B38/5)*Costes_26!$P$30</f>
        <v>244.608</v>
      </c>
      <c r="T38" s="45">
        <f ca="1">Costes_26!$Q$26*(B38/5)*Costes_26!$P$30</f>
        <v>244.608</v>
      </c>
    </row>
    <row r="39" spans="2:20">
      <c r="B39" s="5">
        <f>Costes_26!B39</f>
        <v>6</v>
      </c>
      <c r="C39" s="4">
        <f>Costes_26!C39</f>
        <v>136.52000000000001</v>
      </c>
      <c r="D39" s="4">
        <f>Costes_26!D39</f>
        <v>13.027692307692314</v>
      </c>
      <c r="E39" s="4">
        <f ca="1">Costes_26!E39</f>
        <v>20.036923076923081</v>
      </c>
      <c r="F39" s="4">
        <f ca="1">Costes_26!F39</f>
        <v>10.430000000000007</v>
      </c>
      <c r="G39" s="4">
        <f ca="1">Costes_26!G39</f>
        <v>39.139230769230778</v>
      </c>
      <c r="H39" s="45">
        <f t="shared" ca="1" si="0"/>
        <v>219.15384615384619</v>
      </c>
      <c r="I39" s="46">
        <f ca="1">Costes_26!$Q$15*(Costes_26!B39/5)*Costes_26!$P$30</f>
        <v>199.68</v>
      </c>
      <c r="J39" s="45">
        <f ca="1">Costes_26!$Q$16*(B39/5)*Costes_26!$P$30</f>
        <v>199.68</v>
      </c>
      <c r="K39" s="45">
        <f ca="1">Costes_26!$Q$17*(B39/5)*Costes_26!$P$30</f>
        <v>199.68</v>
      </c>
      <c r="L39" s="45">
        <f ca="1">Costes_26!$Q$18*(B39/5)*Costes_26!$P$30</f>
        <v>199.68</v>
      </c>
      <c r="M39" s="45">
        <f ca="1">Costes_26!$Q$19*(B39/5)*Costes_26!$P$30</f>
        <v>199.68</v>
      </c>
      <c r="N39" s="45">
        <f ca="1">Costes_26!$Q$20*(B39/5)*Costes_26!$P$30</f>
        <v>199.68</v>
      </c>
      <c r="O39" s="45">
        <f ca="1">Costes_26!$Q$21*(B39/5)*Costes_26!$P$30</f>
        <v>229.63199999999998</v>
      </c>
      <c r="P39" s="45">
        <f ca="1">Costes_26!$Q$22*(B39/5)*Costes_26!$P$30</f>
        <v>209.66399999999999</v>
      </c>
      <c r="Q39" s="45">
        <f ca="1">Costes_26!$Q$23*(B39/5)*Costes_26!$P$30</f>
        <v>219.648</v>
      </c>
      <c r="R39" s="45">
        <f ca="1">Costes_26!$Q$24*(B39/5)*Costes_26!$P$30</f>
        <v>199.68</v>
      </c>
      <c r="S39" s="45">
        <f ca="1">Costes_26!$Q$25*(B39/5)*Costes_26!$P$30</f>
        <v>209.66399999999999</v>
      </c>
      <c r="T39" s="45">
        <f ca="1">Costes_26!$Q$26*(B39/5)*Costes_26!$P$30</f>
        <v>209.66399999999999</v>
      </c>
    </row>
    <row r="40" spans="2:20">
      <c r="B40" s="5">
        <f>Costes_26!B40</f>
        <v>5</v>
      </c>
      <c r="C40" s="4">
        <f>Costes_26!C40</f>
        <v>113.76666666666668</v>
      </c>
      <c r="D40" s="4">
        <f>Costes_26!D40</f>
        <v>10.856410256410262</v>
      </c>
      <c r="E40" s="4">
        <f ca="1">Costes_26!E40</f>
        <v>16.697435897435902</v>
      </c>
      <c r="F40" s="4">
        <f ca="1">Costes_26!F40</f>
        <v>8.6916666666666629</v>
      </c>
      <c r="G40" s="4">
        <f ca="1">Costes_26!G40</f>
        <v>32.616025641025644</v>
      </c>
      <c r="H40" s="45">
        <f t="shared" ca="1" si="0"/>
        <v>182.62820512820514</v>
      </c>
      <c r="I40" s="46">
        <f ca="1">Costes_26!$Q$15*(Costes_26!B40/5)*Costes_26!$P$30</f>
        <v>166.4</v>
      </c>
      <c r="J40" s="45">
        <f ca="1">Costes_26!$Q$16*(B40/5)*Costes_26!$P$30</f>
        <v>166.4</v>
      </c>
      <c r="K40" s="45">
        <f ca="1">Costes_26!$Q$17*(B40/5)*Costes_26!$P$30</f>
        <v>166.4</v>
      </c>
      <c r="L40" s="45">
        <f ca="1">Costes_26!$Q$18*(B40/5)*Costes_26!$P$30</f>
        <v>166.4</v>
      </c>
      <c r="M40" s="45">
        <f ca="1">Costes_26!$Q$19*(B40/5)*Costes_26!$P$30</f>
        <v>166.4</v>
      </c>
      <c r="N40" s="45">
        <f ca="1">Costes_26!$Q$20*(B40/5)*Costes_26!$P$30</f>
        <v>166.4</v>
      </c>
      <c r="O40" s="45">
        <f ca="1">Costes_26!$Q$21*(B40/5)*Costes_26!$P$30</f>
        <v>191.36</v>
      </c>
      <c r="P40" s="45">
        <f ca="1">Costes_26!$Q$22*(B40/5)*Costes_26!$P$30</f>
        <v>174.72</v>
      </c>
      <c r="Q40" s="45">
        <f ca="1">Costes_26!$Q$23*(B40/5)*Costes_26!$P$30</f>
        <v>183.04000000000002</v>
      </c>
      <c r="R40" s="45">
        <f ca="1">Costes_26!$Q$24*(B40/5)*Costes_26!$P$30</f>
        <v>166.4</v>
      </c>
      <c r="S40" s="45">
        <f ca="1">Costes_26!$Q$25*(B40/5)*Costes_26!$P$30</f>
        <v>174.72</v>
      </c>
      <c r="T40" s="45">
        <f ca="1">Costes_26!$Q$26*(B40/5)*Costes_26!$P$30</f>
        <v>174.72</v>
      </c>
    </row>
    <row r="41" spans="2:20">
      <c r="B41" s="5">
        <f>Costes_26!B41</f>
        <v>4</v>
      </c>
      <c r="C41" s="4">
        <f>Costes_26!C41</f>
        <v>91.01333333333335</v>
      </c>
      <c r="D41" s="4">
        <f>Costes_26!D41</f>
        <v>8.6851282051282102</v>
      </c>
      <c r="E41" s="4">
        <f ca="1">Costes_26!E41</f>
        <v>13.357948717948723</v>
      </c>
      <c r="F41" s="4">
        <f ca="1">Costes_26!F41</f>
        <v>6.9533333333333189</v>
      </c>
      <c r="G41" s="4">
        <f ca="1">Costes_26!G41</f>
        <v>26.092820512820516</v>
      </c>
      <c r="H41" s="45">
        <f t="shared" ca="1" si="0"/>
        <v>146.10256410256412</v>
      </c>
      <c r="I41" s="46">
        <f ca="1">Costes_26!$Q$15*(Costes_26!B41/5)*Costes_26!$P$30</f>
        <v>133.12</v>
      </c>
      <c r="J41" s="45">
        <f ca="1">Costes_26!$Q$16*(B41/5)*Costes_26!$P$30</f>
        <v>133.12</v>
      </c>
      <c r="K41" s="45">
        <f ca="1">Costes_26!$Q$17*(B41/5)*Costes_26!$P$30</f>
        <v>133.12</v>
      </c>
      <c r="L41" s="45">
        <f ca="1">Costes_26!$Q$18*(B41/5)*Costes_26!$P$30</f>
        <v>133.12</v>
      </c>
      <c r="M41" s="45">
        <f ca="1">Costes_26!$Q$19*(B41/5)*Costes_26!$P$30</f>
        <v>133.12</v>
      </c>
      <c r="N41" s="45">
        <f ca="1">Costes_26!$Q$20*(B41/5)*Costes_26!$P$30</f>
        <v>133.12</v>
      </c>
      <c r="O41" s="45">
        <f ca="1">Costes_26!$Q$21*(B41/5)*Costes_26!$P$30</f>
        <v>153.08800000000002</v>
      </c>
      <c r="P41" s="45">
        <f ca="1">Costes_26!$Q$22*(B41/5)*Costes_26!$P$30</f>
        <v>139.77600000000001</v>
      </c>
      <c r="Q41" s="45">
        <f ca="1">Costes_26!$Q$23*(B41/5)*Costes_26!$P$30</f>
        <v>146.43200000000002</v>
      </c>
      <c r="R41" s="45">
        <f ca="1">Costes_26!$Q$24*(B41/5)*Costes_26!$P$30</f>
        <v>133.12</v>
      </c>
      <c r="S41" s="45">
        <f ca="1">Costes_26!$Q$25*(B41/5)*Costes_26!$P$30</f>
        <v>139.77600000000001</v>
      </c>
      <c r="T41" s="45">
        <f ca="1">Costes_26!$Q$26*(B41/5)*Costes_26!$P$30</f>
        <v>139.77600000000001</v>
      </c>
    </row>
    <row r="42" spans="2:20">
      <c r="B42" s="5">
        <f>Costes_26!B42</f>
        <v>3</v>
      </c>
      <c r="C42" s="4">
        <f>Costes_26!C42</f>
        <v>68.260000000000019</v>
      </c>
      <c r="D42" s="4">
        <f>Costes_26!D42</f>
        <v>6.5138461538461581</v>
      </c>
      <c r="E42" s="4">
        <f ca="1">Costes_26!E42</f>
        <v>10.018461538461542</v>
      </c>
      <c r="F42" s="4">
        <f ca="1">Costes_26!F42</f>
        <v>5.2149999999999892</v>
      </c>
      <c r="G42" s="4">
        <f ca="1">Costes_26!G42</f>
        <v>19.569615384615389</v>
      </c>
      <c r="H42" s="45">
        <f t="shared" ca="1" si="0"/>
        <v>109.57692307692309</v>
      </c>
      <c r="I42" s="46">
        <f ca="1">Costes_26!$Q$15*(Costes_26!B42/5)*Costes_26!$P$30</f>
        <v>99.84</v>
      </c>
      <c r="J42" s="45">
        <f ca="1">Costes_26!$Q$16*(B42/5)*Costes_26!$P$30</f>
        <v>99.84</v>
      </c>
      <c r="K42" s="45">
        <f ca="1">Costes_26!$Q$17*(B42/5)*Costes_26!$P$30</f>
        <v>99.84</v>
      </c>
      <c r="L42" s="45">
        <f ca="1">Costes_26!$Q$18*(B42/5)*Costes_26!$P$30</f>
        <v>99.84</v>
      </c>
      <c r="M42" s="45">
        <f ca="1">Costes_26!$Q$19*(B42/5)*Costes_26!$P$30</f>
        <v>99.84</v>
      </c>
      <c r="N42" s="45">
        <f ca="1">Costes_26!$Q$20*(B42/5)*Costes_26!$P$30</f>
        <v>99.84</v>
      </c>
      <c r="O42" s="45">
        <f ca="1">Costes_26!$Q$21*(B42/5)*Costes_26!$P$30</f>
        <v>114.81599999999999</v>
      </c>
      <c r="P42" s="45">
        <f ca="1">Costes_26!$Q$22*(B42/5)*Costes_26!$P$30</f>
        <v>104.83199999999999</v>
      </c>
      <c r="Q42" s="45">
        <f ca="1">Costes_26!$Q$23*(B42/5)*Costes_26!$P$30</f>
        <v>109.824</v>
      </c>
      <c r="R42" s="45">
        <f ca="1">Costes_26!$Q$24*(B42/5)*Costes_26!$P$30</f>
        <v>99.84</v>
      </c>
      <c r="S42" s="45">
        <f ca="1">Costes_26!$Q$25*(B42/5)*Costes_26!$P$30</f>
        <v>104.83199999999999</v>
      </c>
      <c r="T42" s="45">
        <f ca="1">Costes_26!$Q$26*(B42/5)*Costes_26!$P$30</f>
        <v>104.83199999999999</v>
      </c>
    </row>
    <row r="43" spans="2:20">
      <c r="B43" s="5">
        <f>Costes_26!B43</f>
        <v>2</v>
      </c>
      <c r="C43" s="4">
        <f>Costes_26!C43</f>
        <v>45.506666666666675</v>
      </c>
      <c r="D43" s="4">
        <f>Costes_26!D43</f>
        <v>4.3425641025641051</v>
      </c>
      <c r="E43" s="4">
        <f ca="1">Costes_26!E43</f>
        <v>6.6789743589743615</v>
      </c>
      <c r="F43" s="4">
        <f ca="1">Costes_26!F43</f>
        <v>3.4766666666666595</v>
      </c>
      <c r="G43" s="4">
        <f ca="1">Costes_26!G43</f>
        <v>13.046410256410258</v>
      </c>
      <c r="H43" s="45">
        <f t="shared" ca="1" si="0"/>
        <v>73.051282051282058</v>
      </c>
      <c r="I43" s="46">
        <f ca="1">Costes_26!$Q$15*(Costes_26!B43/5)*Costes_26!$P$30</f>
        <v>66.56</v>
      </c>
      <c r="J43" s="45">
        <f ca="1">Costes_26!$Q$16*(B43/5)*Costes_26!$P$30</f>
        <v>66.56</v>
      </c>
      <c r="K43" s="45">
        <f ca="1">Costes_26!$Q$17*(B43/5)*Costes_26!$P$30</f>
        <v>66.56</v>
      </c>
      <c r="L43" s="45">
        <f ca="1">Costes_26!$Q$18*(B43/5)*Costes_26!$P$30</f>
        <v>66.56</v>
      </c>
      <c r="M43" s="45">
        <f ca="1">Costes_26!$Q$19*(B43/5)*Costes_26!$P$30</f>
        <v>66.56</v>
      </c>
      <c r="N43" s="45">
        <f ca="1">Costes_26!$Q$20*(B43/5)*Costes_26!$P$30</f>
        <v>66.56</v>
      </c>
      <c r="O43" s="45">
        <f ca="1">Costes_26!$Q$21*(B43/5)*Costes_26!$P$30</f>
        <v>76.544000000000011</v>
      </c>
      <c r="P43" s="45">
        <f ca="1">Costes_26!$Q$22*(B43/5)*Costes_26!$P$30</f>
        <v>69.888000000000005</v>
      </c>
      <c r="Q43" s="45">
        <f ca="1">Costes_26!$Q$23*(B43/5)*Costes_26!$P$30</f>
        <v>73.216000000000008</v>
      </c>
      <c r="R43" s="45">
        <f ca="1">Costes_26!$Q$24*(B43/5)*Costes_26!$P$30</f>
        <v>66.56</v>
      </c>
      <c r="S43" s="45">
        <f ca="1">Costes_26!$Q$25*(B43/5)*Costes_26!$P$30</f>
        <v>69.888000000000005</v>
      </c>
      <c r="T43" s="45">
        <f ca="1">Costes_26!$Q$26*(B43/5)*Costes_26!$P$30</f>
        <v>69.888000000000005</v>
      </c>
    </row>
    <row r="44" spans="2:20">
      <c r="B44" s="5">
        <v>1</v>
      </c>
      <c r="C44" s="4">
        <f>Costes_26!C44</f>
        <v>22.753333333333337</v>
      </c>
      <c r="D44" s="4">
        <f>Costes_26!D44</f>
        <v>2.1712820512820525</v>
      </c>
      <c r="E44" s="4">
        <f ca="1">Costes_26!E44</f>
        <v>3.3394871794871808</v>
      </c>
      <c r="F44" s="4">
        <f ca="1">Costes_26!F44</f>
        <v>1.7383333333333297</v>
      </c>
      <c r="G44" s="4">
        <f ca="1">Costes_26!G44</f>
        <v>6.5232051282051291</v>
      </c>
      <c r="H44" s="45">
        <f t="shared" ca="1" si="0"/>
        <v>36.525641025641029</v>
      </c>
      <c r="I44" s="46">
        <f ca="1">Costes_26!$Q$15*(Costes_26!B44/5)*Costes_26!$P$30</f>
        <v>33.28</v>
      </c>
      <c r="J44" s="45">
        <f ca="1">Costes_26!$Q$16*(B44/5)*Costes_26!$P$30</f>
        <v>33.28</v>
      </c>
      <c r="K44" s="45">
        <f ca="1">Costes_26!$Q$17*(B44/5)*Costes_26!$P$30</f>
        <v>33.28</v>
      </c>
      <c r="L44" s="45">
        <f ca="1">Costes_26!$Q$18*(B44/5)*Costes_26!$P$30</f>
        <v>33.28</v>
      </c>
      <c r="M44" s="45">
        <f ca="1">Costes_26!$Q$19*(B44/5)*Costes_26!$P$30</f>
        <v>33.28</v>
      </c>
      <c r="N44" s="45">
        <f ca="1">Costes_26!$Q$20*(B44/5)*Costes_26!$P$30</f>
        <v>33.28</v>
      </c>
      <c r="O44" s="45">
        <f ca="1">Costes_26!$Q$21*(B44/5)*Costes_26!$P$30</f>
        <v>38.272000000000006</v>
      </c>
      <c r="P44" s="45">
        <f ca="1">Costes_26!$Q$22*(B44/5)*Costes_26!$P$30</f>
        <v>34.944000000000003</v>
      </c>
      <c r="Q44" s="45">
        <f ca="1">Costes_26!$Q$23*(B44/5)*Costes_26!$P$30</f>
        <v>36.608000000000004</v>
      </c>
      <c r="R44" s="45">
        <f ca="1">Costes_26!$Q$24*(B44/5)*Costes_26!$P$30</f>
        <v>33.28</v>
      </c>
      <c r="S44" s="45">
        <f ca="1">Costes_26!$Q$25*(B44/5)*Costes_26!$P$30</f>
        <v>34.944000000000003</v>
      </c>
      <c r="T44" s="45">
        <f ca="1">Costes_26!$Q$26*(B44/5)*Costes_26!$P$30</f>
        <v>34.944000000000003</v>
      </c>
    </row>
    <row r="48" spans="2:20">
      <c r="B48" s="6" t="s">
        <v>82</v>
      </c>
      <c r="C48" s="6"/>
      <c r="D48" s="6"/>
    </row>
    <row r="50" spans="2:14" ht="17" customHeight="1" thickBot="1">
      <c r="C50" s="7" t="s">
        <v>0</v>
      </c>
      <c r="D50" s="7" t="s">
        <v>1</v>
      </c>
      <c r="E50" s="7" t="s">
        <v>2</v>
      </c>
      <c r="F50" s="7" t="s">
        <v>3</v>
      </c>
      <c r="G50" s="7" t="s">
        <v>4</v>
      </c>
      <c r="H50" s="7" t="s">
        <v>5</v>
      </c>
      <c r="I50" s="7" t="s">
        <v>8</v>
      </c>
      <c r="J50" s="7" t="s">
        <v>9</v>
      </c>
      <c r="K50" s="7" t="s">
        <v>11</v>
      </c>
      <c r="L50" s="7" t="s">
        <v>12</v>
      </c>
      <c r="M50" s="7" t="s">
        <v>14</v>
      </c>
      <c r="N50" s="7" t="s">
        <v>16</v>
      </c>
    </row>
    <row r="51" spans="2:14">
      <c r="B51" s="5">
        <f t="shared" ref="B51:B89" si="1">B6</f>
        <v>39</v>
      </c>
      <c r="C51" s="4">
        <f t="shared" ref="C51:N51" ca="1" si="2">IF($H$6&gt;I6,$H$6,I6)</f>
        <v>1424.5000000000002</v>
      </c>
      <c r="D51" s="4">
        <f t="shared" ca="1" si="2"/>
        <v>1424.5000000000002</v>
      </c>
      <c r="E51" s="4">
        <f t="shared" ca="1" si="2"/>
        <v>1424.5000000000002</v>
      </c>
      <c r="F51" s="4">
        <f t="shared" ca="1" si="2"/>
        <v>1424.5000000000002</v>
      </c>
      <c r="G51" s="4">
        <f t="shared" ca="1" si="2"/>
        <v>1424.5000000000002</v>
      </c>
      <c r="H51" s="4">
        <f t="shared" ca="1" si="2"/>
        <v>1424.5000000000002</v>
      </c>
      <c r="I51" s="4">
        <f t="shared" ca="1" si="2"/>
        <v>1492.6080000000002</v>
      </c>
      <c r="J51" s="4">
        <f t="shared" ca="1" si="2"/>
        <v>1424.5000000000002</v>
      </c>
      <c r="K51" s="4">
        <f t="shared" ca="1" si="2"/>
        <v>1427.712</v>
      </c>
      <c r="L51" s="4">
        <f t="shared" ca="1" si="2"/>
        <v>1424.5000000000002</v>
      </c>
      <c r="M51" s="4">
        <f t="shared" ca="1" si="2"/>
        <v>1424.5000000000002</v>
      </c>
      <c r="N51" s="4">
        <f t="shared" ca="1" si="2"/>
        <v>1424.5000000000002</v>
      </c>
    </row>
    <row r="52" spans="2:14">
      <c r="B52" s="5">
        <f t="shared" si="1"/>
        <v>38</v>
      </c>
      <c r="C52" s="4">
        <f t="shared" ref="C52:N52" ca="1" si="3">IF($H$7&gt;I7,$H$7,I7)</f>
        <v>1387.9743589743591</v>
      </c>
      <c r="D52" s="4">
        <f t="shared" ca="1" si="3"/>
        <v>1387.9743589743591</v>
      </c>
      <c r="E52" s="4">
        <f t="shared" ca="1" si="3"/>
        <v>1387.9743589743591</v>
      </c>
      <c r="F52" s="4">
        <f t="shared" ca="1" si="3"/>
        <v>1387.9743589743591</v>
      </c>
      <c r="G52" s="4">
        <f t="shared" ca="1" si="3"/>
        <v>1387.9743589743591</v>
      </c>
      <c r="H52" s="4">
        <f t="shared" ca="1" si="3"/>
        <v>1387.9743589743591</v>
      </c>
      <c r="I52" s="4">
        <f t="shared" ca="1" si="3"/>
        <v>1454.336</v>
      </c>
      <c r="J52" s="4">
        <f t="shared" ca="1" si="3"/>
        <v>1387.9743589743591</v>
      </c>
      <c r="K52" s="4">
        <f t="shared" ca="1" si="3"/>
        <v>1391.104</v>
      </c>
      <c r="L52" s="4">
        <f t="shared" ca="1" si="3"/>
        <v>1387.9743589743591</v>
      </c>
      <c r="M52" s="4">
        <f t="shared" ca="1" si="3"/>
        <v>1387.9743589743591</v>
      </c>
      <c r="N52" s="4">
        <f t="shared" ca="1" si="3"/>
        <v>1387.9743589743591</v>
      </c>
    </row>
    <row r="53" spans="2:14">
      <c r="B53" s="5">
        <f t="shared" si="1"/>
        <v>37</v>
      </c>
      <c r="C53" s="4">
        <f t="shared" ref="C53:N53" ca="1" si="4">IF($H$8&gt;I8,$H$8,I8)</f>
        <v>1351.4487179487182</v>
      </c>
      <c r="D53" s="4">
        <f t="shared" ca="1" si="4"/>
        <v>1351.4487179487182</v>
      </c>
      <c r="E53" s="4">
        <f t="shared" ca="1" si="4"/>
        <v>1351.4487179487182</v>
      </c>
      <c r="F53" s="4">
        <f t="shared" ca="1" si="4"/>
        <v>1351.4487179487182</v>
      </c>
      <c r="G53" s="4">
        <f t="shared" ca="1" si="4"/>
        <v>1351.4487179487182</v>
      </c>
      <c r="H53" s="4">
        <f t="shared" ca="1" si="4"/>
        <v>1351.4487179487182</v>
      </c>
      <c r="I53" s="4">
        <f t="shared" ca="1" si="4"/>
        <v>1416.0640000000001</v>
      </c>
      <c r="J53" s="4">
        <f t="shared" ca="1" si="4"/>
        <v>1351.4487179487182</v>
      </c>
      <c r="K53" s="4">
        <f t="shared" ca="1" si="4"/>
        <v>1354.4960000000001</v>
      </c>
      <c r="L53" s="4">
        <f t="shared" ca="1" si="4"/>
        <v>1351.4487179487182</v>
      </c>
      <c r="M53" s="4">
        <f t="shared" ca="1" si="4"/>
        <v>1351.4487179487182</v>
      </c>
      <c r="N53" s="4">
        <f t="shared" ca="1" si="4"/>
        <v>1351.4487179487182</v>
      </c>
    </row>
    <row r="54" spans="2:14">
      <c r="B54" s="5">
        <f t="shared" si="1"/>
        <v>36</v>
      </c>
      <c r="C54" s="4">
        <f t="shared" ref="C54:N54" ca="1" si="5">IF($H$9&gt;I9,$H$9,I9)</f>
        <v>1314.9230769230771</v>
      </c>
      <c r="D54" s="4">
        <f t="shared" ca="1" si="5"/>
        <v>1314.9230769230771</v>
      </c>
      <c r="E54" s="4">
        <f t="shared" ca="1" si="5"/>
        <v>1314.9230769230771</v>
      </c>
      <c r="F54" s="4">
        <f t="shared" ca="1" si="5"/>
        <v>1314.9230769230771</v>
      </c>
      <c r="G54" s="4">
        <f t="shared" ca="1" si="5"/>
        <v>1314.9230769230771</v>
      </c>
      <c r="H54" s="4">
        <f t="shared" ca="1" si="5"/>
        <v>1314.9230769230771</v>
      </c>
      <c r="I54" s="4">
        <f t="shared" ca="1" si="5"/>
        <v>1377.7919999999999</v>
      </c>
      <c r="J54" s="4">
        <f t="shared" ca="1" si="5"/>
        <v>1314.9230769230771</v>
      </c>
      <c r="K54" s="4">
        <f t="shared" ca="1" si="5"/>
        <v>1317.8880000000001</v>
      </c>
      <c r="L54" s="4">
        <f t="shared" ca="1" si="5"/>
        <v>1314.9230769230771</v>
      </c>
      <c r="M54" s="4">
        <f t="shared" ca="1" si="5"/>
        <v>1314.9230769230771</v>
      </c>
      <c r="N54" s="4">
        <f t="shared" ca="1" si="5"/>
        <v>1314.9230769230771</v>
      </c>
    </row>
    <row r="55" spans="2:14">
      <c r="B55" s="5">
        <f t="shared" si="1"/>
        <v>35</v>
      </c>
      <c r="C55" s="4">
        <f t="shared" ref="C55:N55" ca="1" si="6">IF($H$10&gt;I10,$H$10,I10)</f>
        <v>1278.397435897436</v>
      </c>
      <c r="D55" s="4">
        <f t="shared" ca="1" si="6"/>
        <v>1278.397435897436</v>
      </c>
      <c r="E55" s="4">
        <f t="shared" ca="1" si="6"/>
        <v>1278.397435897436</v>
      </c>
      <c r="F55" s="4">
        <f t="shared" ca="1" si="6"/>
        <v>1278.397435897436</v>
      </c>
      <c r="G55" s="4">
        <f t="shared" ca="1" si="6"/>
        <v>1278.397435897436</v>
      </c>
      <c r="H55" s="4">
        <f t="shared" ca="1" si="6"/>
        <v>1278.397435897436</v>
      </c>
      <c r="I55" s="4">
        <f t="shared" ca="1" si="6"/>
        <v>1339.52</v>
      </c>
      <c r="J55" s="4">
        <f t="shared" ca="1" si="6"/>
        <v>1278.397435897436</v>
      </c>
      <c r="K55" s="4">
        <f t="shared" ca="1" si="6"/>
        <v>1281.28</v>
      </c>
      <c r="L55" s="4">
        <f t="shared" ca="1" si="6"/>
        <v>1278.397435897436</v>
      </c>
      <c r="M55" s="4">
        <f t="shared" ca="1" si="6"/>
        <v>1278.397435897436</v>
      </c>
      <c r="N55" s="4">
        <f t="shared" ca="1" si="6"/>
        <v>1278.397435897436</v>
      </c>
    </row>
    <row r="56" spans="2:14">
      <c r="B56" s="5">
        <f t="shared" si="1"/>
        <v>34</v>
      </c>
      <c r="C56" s="4">
        <f t="shared" ref="C56:N56" ca="1" si="7">IF($H$11&gt;I11,$H$11,I11)</f>
        <v>1241.8717948717949</v>
      </c>
      <c r="D56" s="4">
        <f t="shared" ca="1" si="7"/>
        <v>1241.8717948717949</v>
      </c>
      <c r="E56" s="4">
        <f t="shared" ca="1" si="7"/>
        <v>1241.8717948717949</v>
      </c>
      <c r="F56" s="4">
        <f t="shared" ca="1" si="7"/>
        <v>1241.8717948717949</v>
      </c>
      <c r="G56" s="4">
        <f t="shared" ca="1" si="7"/>
        <v>1241.8717948717949</v>
      </c>
      <c r="H56" s="4">
        <f t="shared" ca="1" si="7"/>
        <v>1241.8717948717949</v>
      </c>
      <c r="I56" s="4">
        <f t="shared" ca="1" si="7"/>
        <v>1301.248</v>
      </c>
      <c r="J56" s="4">
        <f t="shared" ca="1" si="7"/>
        <v>1241.8717948717949</v>
      </c>
      <c r="K56" s="4">
        <f t="shared" ca="1" si="7"/>
        <v>1244.672</v>
      </c>
      <c r="L56" s="4">
        <f t="shared" ca="1" si="7"/>
        <v>1241.8717948717949</v>
      </c>
      <c r="M56" s="4">
        <f t="shared" ca="1" si="7"/>
        <v>1241.8717948717949</v>
      </c>
      <c r="N56" s="4">
        <f t="shared" ca="1" si="7"/>
        <v>1241.8717948717949</v>
      </c>
    </row>
    <row r="57" spans="2:14">
      <c r="B57" s="5">
        <f t="shared" si="1"/>
        <v>33</v>
      </c>
      <c r="C57" s="4">
        <f t="shared" ref="C57:N57" ca="1" si="8">IF($H$12&gt;I12,$H$12,I12)</f>
        <v>1205.3461538461538</v>
      </c>
      <c r="D57" s="4">
        <f t="shared" ca="1" si="8"/>
        <v>1205.3461538461538</v>
      </c>
      <c r="E57" s="4">
        <f t="shared" ca="1" si="8"/>
        <v>1205.3461538461538</v>
      </c>
      <c r="F57" s="4">
        <f t="shared" ca="1" si="8"/>
        <v>1205.3461538461538</v>
      </c>
      <c r="G57" s="4">
        <f t="shared" ca="1" si="8"/>
        <v>1205.3461538461538</v>
      </c>
      <c r="H57" s="4">
        <f t="shared" ca="1" si="8"/>
        <v>1205.3461538461538</v>
      </c>
      <c r="I57" s="4">
        <f t="shared" ca="1" si="8"/>
        <v>1262.9759999999999</v>
      </c>
      <c r="J57" s="4">
        <f t="shared" ca="1" si="8"/>
        <v>1205.3461538461538</v>
      </c>
      <c r="K57" s="4">
        <f t="shared" ca="1" si="8"/>
        <v>1208.0639999999999</v>
      </c>
      <c r="L57" s="4">
        <f t="shared" ca="1" si="8"/>
        <v>1205.3461538461538</v>
      </c>
      <c r="M57" s="4">
        <f t="shared" ca="1" si="8"/>
        <v>1205.3461538461538</v>
      </c>
      <c r="N57" s="4">
        <f t="shared" ca="1" si="8"/>
        <v>1205.3461538461538</v>
      </c>
    </row>
    <row r="58" spans="2:14">
      <c r="B58" s="5">
        <f t="shared" si="1"/>
        <v>32</v>
      </c>
      <c r="C58" s="4">
        <f t="shared" ref="C58:N58" ca="1" si="9">IF($H$13&gt;I13,$H$13,I13)</f>
        <v>1168.8205128205129</v>
      </c>
      <c r="D58" s="4">
        <f t="shared" ca="1" si="9"/>
        <v>1168.8205128205129</v>
      </c>
      <c r="E58" s="4">
        <f t="shared" ca="1" si="9"/>
        <v>1168.8205128205129</v>
      </c>
      <c r="F58" s="4">
        <f t="shared" ca="1" si="9"/>
        <v>1168.8205128205129</v>
      </c>
      <c r="G58" s="4">
        <f t="shared" ca="1" si="9"/>
        <v>1168.8205128205129</v>
      </c>
      <c r="H58" s="4">
        <f t="shared" ca="1" si="9"/>
        <v>1168.8205128205129</v>
      </c>
      <c r="I58" s="4">
        <f t="shared" ca="1" si="9"/>
        <v>1224.7040000000002</v>
      </c>
      <c r="J58" s="4">
        <f t="shared" ca="1" si="9"/>
        <v>1168.8205128205129</v>
      </c>
      <c r="K58" s="4">
        <f t="shared" ca="1" si="9"/>
        <v>1171.4560000000001</v>
      </c>
      <c r="L58" s="4">
        <f t="shared" ca="1" si="9"/>
        <v>1168.8205128205129</v>
      </c>
      <c r="M58" s="4">
        <f t="shared" ca="1" si="9"/>
        <v>1168.8205128205129</v>
      </c>
      <c r="N58" s="4">
        <f t="shared" ca="1" si="9"/>
        <v>1168.8205128205129</v>
      </c>
    </row>
    <row r="59" spans="2:14">
      <c r="B59" s="5">
        <f t="shared" si="1"/>
        <v>31</v>
      </c>
      <c r="C59" s="4">
        <f t="shared" ref="C59:N59" ca="1" si="10">IF($H$14&gt;I14,$H$14,I14)</f>
        <v>1132.2948717948718</v>
      </c>
      <c r="D59" s="4">
        <f t="shared" ca="1" si="10"/>
        <v>1132.2948717948718</v>
      </c>
      <c r="E59" s="4">
        <f t="shared" ca="1" si="10"/>
        <v>1132.2948717948718</v>
      </c>
      <c r="F59" s="4">
        <f t="shared" ca="1" si="10"/>
        <v>1132.2948717948718</v>
      </c>
      <c r="G59" s="4">
        <f t="shared" ca="1" si="10"/>
        <v>1132.2948717948718</v>
      </c>
      <c r="H59" s="4">
        <f t="shared" ca="1" si="10"/>
        <v>1132.2948717948718</v>
      </c>
      <c r="I59" s="4">
        <f t="shared" ca="1" si="10"/>
        <v>1186.432</v>
      </c>
      <c r="J59" s="4">
        <f t="shared" ca="1" si="10"/>
        <v>1132.2948717948718</v>
      </c>
      <c r="K59" s="4">
        <f t="shared" ca="1" si="10"/>
        <v>1134.8480000000002</v>
      </c>
      <c r="L59" s="4">
        <f t="shared" ca="1" si="10"/>
        <v>1132.2948717948718</v>
      </c>
      <c r="M59" s="4">
        <f t="shared" ca="1" si="10"/>
        <v>1132.2948717948718</v>
      </c>
      <c r="N59" s="4">
        <f t="shared" ca="1" si="10"/>
        <v>1132.2948717948718</v>
      </c>
    </row>
    <row r="60" spans="2:14">
      <c r="B60" s="5">
        <f t="shared" si="1"/>
        <v>30</v>
      </c>
      <c r="C60" s="4">
        <f t="shared" ref="C60:N60" ca="1" si="11">IF($H$15&gt;I15,$H$15,I15)</f>
        <v>1095.7692307692309</v>
      </c>
      <c r="D60" s="4">
        <f t="shared" ca="1" si="11"/>
        <v>1095.7692307692309</v>
      </c>
      <c r="E60" s="4">
        <f t="shared" ca="1" si="11"/>
        <v>1095.7692307692309</v>
      </c>
      <c r="F60" s="4">
        <f t="shared" ca="1" si="11"/>
        <v>1095.7692307692309</v>
      </c>
      <c r="G60" s="4">
        <f t="shared" ca="1" si="11"/>
        <v>1095.7692307692309</v>
      </c>
      <c r="H60" s="4">
        <f t="shared" ca="1" si="11"/>
        <v>1095.7692307692309</v>
      </c>
      <c r="I60" s="4">
        <f t="shared" ca="1" si="11"/>
        <v>1148.1600000000001</v>
      </c>
      <c r="J60" s="4">
        <f t="shared" ca="1" si="11"/>
        <v>1095.7692307692309</v>
      </c>
      <c r="K60" s="4">
        <f t="shared" ca="1" si="11"/>
        <v>1098.24</v>
      </c>
      <c r="L60" s="4">
        <f t="shared" ca="1" si="11"/>
        <v>1095.7692307692309</v>
      </c>
      <c r="M60" s="4">
        <f t="shared" ca="1" si="11"/>
        <v>1095.7692307692309</v>
      </c>
      <c r="N60" s="4">
        <f t="shared" ca="1" si="11"/>
        <v>1095.7692307692309</v>
      </c>
    </row>
    <row r="61" spans="2:14">
      <c r="B61" s="5">
        <f t="shared" si="1"/>
        <v>29</v>
      </c>
      <c r="C61" s="4">
        <f t="shared" ref="C61:N61" ca="1" si="12">IF($H$16&gt;I16,$H$16,I16)</f>
        <v>1059.2435897435898</v>
      </c>
      <c r="D61" s="4">
        <f t="shared" ca="1" si="12"/>
        <v>1059.2435897435898</v>
      </c>
      <c r="E61" s="4">
        <f t="shared" ca="1" si="12"/>
        <v>1059.2435897435898</v>
      </c>
      <c r="F61" s="4">
        <f t="shared" ca="1" si="12"/>
        <v>1059.2435897435898</v>
      </c>
      <c r="G61" s="4">
        <f t="shared" ca="1" si="12"/>
        <v>1059.2435897435898</v>
      </c>
      <c r="H61" s="4">
        <f t="shared" ca="1" si="12"/>
        <v>1059.2435897435898</v>
      </c>
      <c r="I61" s="4">
        <f t="shared" ca="1" si="12"/>
        <v>1109.8880000000001</v>
      </c>
      <c r="J61" s="4">
        <f t="shared" ca="1" si="12"/>
        <v>1059.2435897435898</v>
      </c>
      <c r="K61" s="4">
        <f t="shared" ca="1" si="12"/>
        <v>1061.6320000000001</v>
      </c>
      <c r="L61" s="4">
        <f t="shared" ca="1" si="12"/>
        <v>1059.2435897435898</v>
      </c>
      <c r="M61" s="4">
        <f t="shared" ca="1" si="12"/>
        <v>1059.2435897435898</v>
      </c>
      <c r="N61" s="4">
        <f t="shared" ca="1" si="12"/>
        <v>1059.2435897435898</v>
      </c>
    </row>
    <row r="62" spans="2:14">
      <c r="B62" s="5">
        <f t="shared" si="1"/>
        <v>28</v>
      </c>
      <c r="C62" s="4">
        <f t="shared" ref="C62:N62" ca="1" si="13">IF($H$17&gt;I17,$H$17,I17)</f>
        <v>1022.7179487179488</v>
      </c>
      <c r="D62" s="4">
        <f t="shared" ca="1" si="13"/>
        <v>1022.7179487179488</v>
      </c>
      <c r="E62" s="4">
        <f t="shared" ca="1" si="13"/>
        <v>1022.7179487179488</v>
      </c>
      <c r="F62" s="4">
        <f t="shared" ca="1" si="13"/>
        <v>1022.7179487179488</v>
      </c>
      <c r="G62" s="4">
        <f t="shared" ca="1" si="13"/>
        <v>1022.7179487179488</v>
      </c>
      <c r="H62" s="4">
        <f t="shared" ca="1" si="13"/>
        <v>1022.7179487179488</v>
      </c>
      <c r="I62" s="4">
        <f t="shared" ca="1" si="13"/>
        <v>1071.616</v>
      </c>
      <c r="J62" s="4">
        <f t="shared" ca="1" si="13"/>
        <v>1022.7179487179488</v>
      </c>
      <c r="K62" s="4">
        <f t="shared" ca="1" si="13"/>
        <v>1025.0239999999999</v>
      </c>
      <c r="L62" s="4">
        <f t="shared" ca="1" si="13"/>
        <v>1022.7179487179488</v>
      </c>
      <c r="M62" s="4">
        <f t="shared" ca="1" si="13"/>
        <v>1022.7179487179488</v>
      </c>
      <c r="N62" s="4">
        <f t="shared" ca="1" si="13"/>
        <v>1022.7179487179488</v>
      </c>
    </row>
    <row r="63" spans="2:14">
      <c r="B63" s="5">
        <f t="shared" si="1"/>
        <v>27</v>
      </c>
      <c r="C63" s="4">
        <f t="shared" ref="C63:N63" ca="1" si="14">IF($H$18&gt;I18,$H$18,I18)</f>
        <v>986.19230769230785</v>
      </c>
      <c r="D63" s="4">
        <f t="shared" ca="1" si="14"/>
        <v>986.19230769230785</v>
      </c>
      <c r="E63" s="4">
        <f t="shared" ca="1" si="14"/>
        <v>986.19230769230785</v>
      </c>
      <c r="F63" s="4">
        <f t="shared" ca="1" si="14"/>
        <v>986.19230769230785</v>
      </c>
      <c r="G63" s="4">
        <f t="shared" ca="1" si="14"/>
        <v>986.19230769230785</v>
      </c>
      <c r="H63" s="4">
        <f t="shared" ca="1" si="14"/>
        <v>986.19230769230785</v>
      </c>
      <c r="I63" s="4">
        <f t="shared" ca="1" si="14"/>
        <v>1033.3440000000001</v>
      </c>
      <c r="J63" s="4">
        <f t="shared" ca="1" si="14"/>
        <v>986.19230769230785</v>
      </c>
      <c r="K63" s="4">
        <f t="shared" ca="1" si="14"/>
        <v>988.41600000000017</v>
      </c>
      <c r="L63" s="4">
        <f t="shared" ca="1" si="14"/>
        <v>986.19230769230785</v>
      </c>
      <c r="M63" s="4">
        <f t="shared" ca="1" si="14"/>
        <v>986.19230769230785</v>
      </c>
      <c r="N63" s="4">
        <f t="shared" ca="1" si="14"/>
        <v>986.19230769230785</v>
      </c>
    </row>
    <row r="64" spans="2:14">
      <c r="B64" s="5">
        <f t="shared" si="1"/>
        <v>26</v>
      </c>
      <c r="C64" s="4">
        <f t="shared" ref="C64:N64" ca="1" si="15">IF($H$19&gt;I19,$H$19,I19)</f>
        <v>949.66666666666674</v>
      </c>
      <c r="D64" s="4">
        <f t="shared" ca="1" si="15"/>
        <v>949.66666666666674</v>
      </c>
      <c r="E64" s="4">
        <f t="shared" ca="1" si="15"/>
        <v>949.66666666666674</v>
      </c>
      <c r="F64" s="4">
        <f t="shared" ca="1" si="15"/>
        <v>949.66666666666674</v>
      </c>
      <c r="G64" s="4">
        <f t="shared" ca="1" si="15"/>
        <v>949.66666666666674</v>
      </c>
      <c r="H64" s="4">
        <f t="shared" ca="1" si="15"/>
        <v>949.66666666666674</v>
      </c>
      <c r="I64" s="4">
        <f t="shared" ca="1" si="15"/>
        <v>995.07200000000012</v>
      </c>
      <c r="J64" s="4">
        <f t="shared" ca="1" si="15"/>
        <v>949.66666666666674</v>
      </c>
      <c r="K64" s="4">
        <f t="shared" ca="1" si="15"/>
        <v>951.80800000000011</v>
      </c>
      <c r="L64" s="4">
        <f t="shared" ca="1" si="15"/>
        <v>949.66666666666674</v>
      </c>
      <c r="M64" s="4">
        <f t="shared" ca="1" si="15"/>
        <v>949.66666666666674</v>
      </c>
      <c r="N64" s="4">
        <f t="shared" ca="1" si="15"/>
        <v>949.66666666666674</v>
      </c>
    </row>
    <row r="65" spans="2:14">
      <c r="B65" s="5">
        <f t="shared" si="1"/>
        <v>25</v>
      </c>
      <c r="C65" s="4">
        <f t="shared" ref="C65:N65" ca="1" si="16">IF($H$20&gt;I20,$H$20,I20)</f>
        <v>913.14102564102586</v>
      </c>
      <c r="D65" s="4">
        <f t="shared" ca="1" si="16"/>
        <v>913.14102564102586</v>
      </c>
      <c r="E65" s="4">
        <f t="shared" ca="1" si="16"/>
        <v>913.14102564102586</v>
      </c>
      <c r="F65" s="4">
        <f t="shared" ca="1" si="16"/>
        <v>913.14102564102586</v>
      </c>
      <c r="G65" s="4">
        <f t="shared" ca="1" si="16"/>
        <v>913.14102564102586</v>
      </c>
      <c r="H65" s="4">
        <f t="shared" ca="1" si="16"/>
        <v>913.14102564102586</v>
      </c>
      <c r="I65" s="4">
        <f t="shared" ca="1" si="16"/>
        <v>956.80000000000007</v>
      </c>
      <c r="J65" s="4">
        <f t="shared" ca="1" si="16"/>
        <v>913.14102564102586</v>
      </c>
      <c r="K65" s="4">
        <f t="shared" ca="1" si="16"/>
        <v>915.2</v>
      </c>
      <c r="L65" s="4">
        <f t="shared" ca="1" si="16"/>
        <v>913.14102564102586</v>
      </c>
      <c r="M65" s="4">
        <f t="shared" ca="1" si="16"/>
        <v>913.14102564102586</v>
      </c>
      <c r="N65" s="4">
        <f t="shared" ca="1" si="16"/>
        <v>913.14102564102586</v>
      </c>
    </row>
    <row r="66" spans="2:14">
      <c r="B66" s="5">
        <f t="shared" si="1"/>
        <v>24</v>
      </c>
      <c r="C66" s="4">
        <f t="shared" ref="C66:N66" ca="1" si="17">IF($H$21&gt;I21,$H$21,I21)</f>
        <v>876.61538461538476</v>
      </c>
      <c r="D66" s="4">
        <f t="shared" ca="1" si="17"/>
        <v>876.61538461538476</v>
      </c>
      <c r="E66" s="4">
        <f t="shared" ca="1" si="17"/>
        <v>876.61538461538476</v>
      </c>
      <c r="F66" s="4">
        <f t="shared" ca="1" si="17"/>
        <v>876.61538461538476</v>
      </c>
      <c r="G66" s="4">
        <f t="shared" ca="1" si="17"/>
        <v>876.61538461538476</v>
      </c>
      <c r="H66" s="4">
        <f t="shared" ca="1" si="17"/>
        <v>876.61538461538476</v>
      </c>
      <c r="I66" s="4">
        <f t="shared" ca="1" si="17"/>
        <v>918.52799999999991</v>
      </c>
      <c r="J66" s="4">
        <f t="shared" ca="1" si="17"/>
        <v>876.61538461538476</v>
      </c>
      <c r="K66" s="4">
        <f t="shared" ca="1" si="17"/>
        <v>878.59199999999998</v>
      </c>
      <c r="L66" s="4">
        <f t="shared" ca="1" si="17"/>
        <v>876.61538461538476</v>
      </c>
      <c r="M66" s="4">
        <f t="shared" ca="1" si="17"/>
        <v>876.61538461538476</v>
      </c>
      <c r="N66" s="4">
        <f t="shared" ca="1" si="17"/>
        <v>876.61538461538476</v>
      </c>
    </row>
    <row r="67" spans="2:14">
      <c r="B67" s="5">
        <f t="shared" si="1"/>
        <v>23</v>
      </c>
      <c r="C67" s="4">
        <f t="shared" ref="C67:N67" ca="1" si="18">IF($H$22&gt;I22,$H$22,I22)</f>
        <v>840.08974358974365</v>
      </c>
      <c r="D67" s="4">
        <f t="shared" ca="1" si="18"/>
        <v>840.08974358974365</v>
      </c>
      <c r="E67" s="4">
        <f t="shared" ca="1" si="18"/>
        <v>840.08974358974365</v>
      </c>
      <c r="F67" s="4">
        <f t="shared" ca="1" si="18"/>
        <v>840.08974358974365</v>
      </c>
      <c r="G67" s="4">
        <f t="shared" ca="1" si="18"/>
        <v>840.08974358974365</v>
      </c>
      <c r="H67" s="4">
        <f t="shared" ca="1" si="18"/>
        <v>840.08974358974365</v>
      </c>
      <c r="I67" s="4">
        <f t="shared" ca="1" si="18"/>
        <v>880.25599999999997</v>
      </c>
      <c r="J67" s="4">
        <f t="shared" ca="1" si="18"/>
        <v>840.08974358974365</v>
      </c>
      <c r="K67" s="4">
        <f t="shared" ca="1" si="18"/>
        <v>841.98399999999992</v>
      </c>
      <c r="L67" s="4">
        <f t="shared" ca="1" si="18"/>
        <v>840.08974358974365</v>
      </c>
      <c r="M67" s="4">
        <f t="shared" ca="1" si="18"/>
        <v>840.08974358974365</v>
      </c>
      <c r="N67" s="4">
        <f t="shared" ca="1" si="18"/>
        <v>840.08974358974365</v>
      </c>
    </row>
    <row r="68" spans="2:14">
      <c r="B68" s="5">
        <f t="shared" si="1"/>
        <v>22</v>
      </c>
      <c r="C68" s="4">
        <f t="shared" ref="C68:N68" ca="1" si="19">IF($H$23&gt;I23,$H$23,I23)</f>
        <v>803.56410256410265</v>
      </c>
      <c r="D68" s="4">
        <f t="shared" ca="1" si="19"/>
        <v>803.56410256410265</v>
      </c>
      <c r="E68" s="4">
        <f t="shared" ca="1" si="19"/>
        <v>803.56410256410265</v>
      </c>
      <c r="F68" s="4">
        <f t="shared" ca="1" si="19"/>
        <v>803.56410256410265</v>
      </c>
      <c r="G68" s="4">
        <f t="shared" ca="1" si="19"/>
        <v>803.56410256410265</v>
      </c>
      <c r="H68" s="4">
        <f t="shared" ca="1" si="19"/>
        <v>803.56410256410265</v>
      </c>
      <c r="I68" s="4">
        <f t="shared" ca="1" si="19"/>
        <v>841.98400000000004</v>
      </c>
      <c r="J68" s="4">
        <f t="shared" ca="1" si="19"/>
        <v>803.56410256410265</v>
      </c>
      <c r="K68" s="4">
        <f t="shared" ca="1" si="19"/>
        <v>805.37600000000009</v>
      </c>
      <c r="L68" s="4">
        <f t="shared" ca="1" si="19"/>
        <v>803.56410256410265</v>
      </c>
      <c r="M68" s="4">
        <f t="shared" ca="1" si="19"/>
        <v>803.56410256410265</v>
      </c>
      <c r="N68" s="4">
        <f t="shared" ca="1" si="19"/>
        <v>803.56410256410265</v>
      </c>
    </row>
    <row r="69" spans="2:14">
      <c r="B69" s="5">
        <f t="shared" si="1"/>
        <v>21</v>
      </c>
      <c r="C69" s="4">
        <f t="shared" ref="C69:N69" ca="1" si="20">IF($H$24&gt;I24,$H$24,I24)</f>
        <v>767.03846153846166</v>
      </c>
      <c r="D69" s="4">
        <f t="shared" ca="1" si="20"/>
        <v>767.03846153846166</v>
      </c>
      <c r="E69" s="4">
        <f t="shared" ca="1" si="20"/>
        <v>767.03846153846166</v>
      </c>
      <c r="F69" s="4">
        <f t="shared" ca="1" si="20"/>
        <v>767.03846153846166</v>
      </c>
      <c r="G69" s="4">
        <f t="shared" ca="1" si="20"/>
        <v>767.03846153846166</v>
      </c>
      <c r="H69" s="4">
        <f t="shared" ca="1" si="20"/>
        <v>767.03846153846166</v>
      </c>
      <c r="I69" s="4">
        <f t="shared" ca="1" si="20"/>
        <v>803.7120000000001</v>
      </c>
      <c r="J69" s="4">
        <f t="shared" ca="1" si="20"/>
        <v>767.03846153846166</v>
      </c>
      <c r="K69" s="4">
        <f t="shared" ca="1" si="20"/>
        <v>768.76800000000003</v>
      </c>
      <c r="L69" s="4">
        <f t="shared" ca="1" si="20"/>
        <v>767.03846153846166</v>
      </c>
      <c r="M69" s="4">
        <f t="shared" ca="1" si="20"/>
        <v>767.03846153846166</v>
      </c>
      <c r="N69" s="4">
        <f t="shared" ca="1" si="20"/>
        <v>767.03846153846166</v>
      </c>
    </row>
    <row r="70" spans="2:14">
      <c r="B70" s="5">
        <f t="shared" si="1"/>
        <v>20</v>
      </c>
      <c r="C70" s="4">
        <f t="shared" ref="C70:N70" ca="1" si="21">IF($H$25&gt;I25,$H$25,I25)</f>
        <v>730.51282051282055</v>
      </c>
      <c r="D70" s="4">
        <f t="shared" ca="1" si="21"/>
        <v>730.51282051282055</v>
      </c>
      <c r="E70" s="4">
        <f t="shared" ca="1" si="21"/>
        <v>730.51282051282055</v>
      </c>
      <c r="F70" s="4">
        <f t="shared" ca="1" si="21"/>
        <v>730.51282051282055</v>
      </c>
      <c r="G70" s="4">
        <f t="shared" ca="1" si="21"/>
        <v>730.51282051282055</v>
      </c>
      <c r="H70" s="4">
        <f t="shared" ca="1" si="21"/>
        <v>730.51282051282055</v>
      </c>
      <c r="I70" s="4">
        <f t="shared" ca="1" si="21"/>
        <v>765.44</v>
      </c>
      <c r="J70" s="4">
        <f t="shared" ca="1" si="21"/>
        <v>730.51282051282055</v>
      </c>
      <c r="K70" s="4">
        <f t="shared" ca="1" si="21"/>
        <v>732.16000000000008</v>
      </c>
      <c r="L70" s="4">
        <f t="shared" ca="1" si="21"/>
        <v>730.51282051282055</v>
      </c>
      <c r="M70" s="4">
        <f t="shared" ca="1" si="21"/>
        <v>730.51282051282055</v>
      </c>
      <c r="N70" s="4">
        <f t="shared" ca="1" si="21"/>
        <v>730.51282051282055</v>
      </c>
    </row>
    <row r="71" spans="2:14">
      <c r="B71" s="5">
        <f t="shared" si="1"/>
        <v>19</v>
      </c>
      <c r="C71" s="4">
        <f t="shared" ref="C71:N71" ca="1" si="22">IF($H$26&gt;I26,$H$26,I26)</f>
        <v>693.98717948717956</v>
      </c>
      <c r="D71" s="4">
        <f t="shared" ca="1" si="22"/>
        <v>693.98717948717956</v>
      </c>
      <c r="E71" s="4">
        <f t="shared" ca="1" si="22"/>
        <v>693.98717948717956</v>
      </c>
      <c r="F71" s="4">
        <f t="shared" ca="1" si="22"/>
        <v>693.98717948717956</v>
      </c>
      <c r="G71" s="4">
        <f t="shared" ca="1" si="22"/>
        <v>693.98717948717956</v>
      </c>
      <c r="H71" s="4">
        <f t="shared" ca="1" si="22"/>
        <v>693.98717948717956</v>
      </c>
      <c r="I71" s="4">
        <f t="shared" ca="1" si="22"/>
        <v>727.16800000000001</v>
      </c>
      <c r="J71" s="4">
        <f t="shared" ca="1" si="22"/>
        <v>693.98717948717956</v>
      </c>
      <c r="K71" s="4">
        <f t="shared" ca="1" si="22"/>
        <v>695.55200000000002</v>
      </c>
      <c r="L71" s="4">
        <f t="shared" ca="1" si="22"/>
        <v>693.98717948717956</v>
      </c>
      <c r="M71" s="4">
        <f t="shared" ca="1" si="22"/>
        <v>693.98717948717956</v>
      </c>
      <c r="N71" s="4">
        <f t="shared" ca="1" si="22"/>
        <v>693.98717948717956</v>
      </c>
    </row>
    <row r="72" spans="2:14">
      <c r="B72" s="5">
        <f t="shared" si="1"/>
        <v>18</v>
      </c>
      <c r="C72" s="4">
        <f t="shared" ref="C72:N72" ca="1" si="23">IF($H$27&gt;I27,$H$27,I27)</f>
        <v>657.46153846153857</v>
      </c>
      <c r="D72" s="4">
        <f t="shared" ca="1" si="23"/>
        <v>657.46153846153857</v>
      </c>
      <c r="E72" s="4">
        <f t="shared" ca="1" si="23"/>
        <v>657.46153846153857</v>
      </c>
      <c r="F72" s="4">
        <f t="shared" ca="1" si="23"/>
        <v>657.46153846153857</v>
      </c>
      <c r="G72" s="4">
        <f t="shared" ca="1" si="23"/>
        <v>657.46153846153857</v>
      </c>
      <c r="H72" s="4">
        <f t="shared" ca="1" si="23"/>
        <v>657.46153846153857</v>
      </c>
      <c r="I72" s="4">
        <f t="shared" ca="1" si="23"/>
        <v>688.89599999999996</v>
      </c>
      <c r="J72" s="4">
        <f t="shared" ca="1" si="23"/>
        <v>657.46153846153857</v>
      </c>
      <c r="K72" s="4">
        <f t="shared" ca="1" si="23"/>
        <v>658.94400000000007</v>
      </c>
      <c r="L72" s="4">
        <f t="shared" ca="1" si="23"/>
        <v>657.46153846153857</v>
      </c>
      <c r="M72" s="4">
        <f t="shared" ca="1" si="23"/>
        <v>657.46153846153857</v>
      </c>
      <c r="N72" s="4">
        <f t="shared" ca="1" si="23"/>
        <v>657.46153846153857</v>
      </c>
    </row>
    <row r="73" spans="2:14">
      <c r="B73" s="5">
        <f t="shared" si="1"/>
        <v>17</v>
      </c>
      <c r="C73" s="4">
        <f t="shared" ref="C73:N73" ca="1" si="24">IF($H$28&gt;I28,$H$28,I28)</f>
        <v>620.93589743589746</v>
      </c>
      <c r="D73" s="4">
        <f t="shared" ca="1" si="24"/>
        <v>620.93589743589746</v>
      </c>
      <c r="E73" s="4">
        <f t="shared" ca="1" si="24"/>
        <v>620.93589743589746</v>
      </c>
      <c r="F73" s="4">
        <f t="shared" ca="1" si="24"/>
        <v>620.93589743589746</v>
      </c>
      <c r="G73" s="4">
        <f t="shared" ca="1" si="24"/>
        <v>620.93589743589746</v>
      </c>
      <c r="H73" s="4">
        <f t="shared" ca="1" si="24"/>
        <v>620.93589743589746</v>
      </c>
      <c r="I73" s="4">
        <f t="shared" ca="1" si="24"/>
        <v>650.62400000000002</v>
      </c>
      <c r="J73" s="4">
        <f t="shared" ca="1" si="24"/>
        <v>620.93589743589746</v>
      </c>
      <c r="K73" s="4">
        <f t="shared" ca="1" si="24"/>
        <v>622.33600000000001</v>
      </c>
      <c r="L73" s="4">
        <f t="shared" ca="1" si="24"/>
        <v>620.93589743589746</v>
      </c>
      <c r="M73" s="4">
        <f t="shared" ca="1" si="24"/>
        <v>620.93589743589746</v>
      </c>
      <c r="N73" s="4">
        <f t="shared" ca="1" si="24"/>
        <v>620.93589743589746</v>
      </c>
    </row>
    <row r="74" spans="2:14">
      <c r="B74" s="5">
        <f t="shared" si="1"/>
        <v>16</v>
      </c>
      <c r="C74" s="4">
        <f t="shared" ref="C74:N74" ca="1" si="25">IF($H$29&gt;I29,$H$29,I29)</f>
        <v>584.41025641025647</v>
      </c>
      <c r="D74" s="4">
        <f t="shared" ca="1" si="25"/>
        <v>584.41025641025647</v>
      </c>
      <c r="E74" s="4">
        <f t="shared" ca="1" si="25"/>
        <v>584.41025641025647</v>
      </c>
      <c r="F74" s="4">
        <f t="shared" ca="1" si="25"/>
        <v>584.41025641025647</v>
      </c>
      <c r="G74" s="4">
        <f t="shared" ca="1" si="25"/>
        <v>584.41025641025647</v>
      </c>
      <c r="H74" s="4">
        <f t="shared" ca="1" si="25"/>
        <v>584.41025641025647</v>
      </c>
      <c r="I74" s="4">
        <f t="shared" ca="1" si="25"/>
        <v>612.35200000000009</v>
      </c>
      <c r="J74" s="4">
        <f t="shared" ca="1" si="25"/>
        <v>584.41025641025647</v>
      </c>
      <c r="K74" s="4">
        <f t="shared" ca="1" si="25"/>
        <v>585.72800000000007</v>
      </c>
      <c r="L74" s="4">
        <f t="shared" ca="1" si="25"/>
        <v>584.41025641025647</v>
      </c>
      <c r="M74" s="4">
        <f t="shared" ca="1" si="25"/>
        <v>584.41025641025647</v>
      </c>
      <c r="N74" s="4">
        <f t="shared" ca="1" si="25"/>
        <v>584.41025641025647</v>
      </c>
    </row>
    <row r="75" spans="2:14">
      <c r="B75" s="5">
        <f t="shared" si="1"/>
        <v>15</v>
      </c>
      <c r="C75" s="4">
        <f t="shared" ref="C75:N75" ca="1" si="26">IF($H$30&gt;I30,$H$30,I30)</f>
        <v>547.88461538461547</v>
      </c>
      <c r="D75" s="4">
        <f t="shared" ca="1" si="26"/>
        <v>547.88461538461547</v>
      </c>
      <c r="E75" s="4">
        <f t="shared" ca="1" si="26"/>
        <v>547.88461538461547</v>
      </c>
      <c r="F75" s="4">
        <f t="shared" ca="1" si="26"/>
        <v>547.88461538461547</v>
      </c>
      <c r="G75" s="4">
        <f t="shared" ca="1" si="26"/>
        <v>547.88461538461547</v>
      </c>
      <c r="H75" s="4">
        <f t="shared" ca="1" si="26"/>
        <v>547.88461538461547</v>
      </c>
      <c r="I75" s="4">
        <f t="shared" ca="1" si="26"/>
        <v>574.08000000000004</v>
      </c>
      <c r="J75" s="4">
        <f t="shared" ca="1" si="26"/>
        <v>547.88461538461547</v>
      </c>
      <c r="K75" s="4">
        <f t="shared" ca="1" si="26"/>
        <v>549.12</v>
      </c>
      <c r="L75" s="4">
        <f t="shared" ca="1" si="26"/>
        <v>547.88461538461547</v>
      </c>
      <c r="M75" s="4">
        <f t="shared" ca="1" si="26"/>
        <v>547.88461538461547</v>
      </c>
      <c r="N75" s="4">
        <f t="shared" ca="1" si="26"/>
        <v>547.88461538461547</v>
      </c>
    </row>
    <row r="76" spans="2:14">
      <c r="B76" s="5">
        <f t="shared" si="1"/>
        <v>14</v>
      </c>
      <c r="C76" s="4">
        <f t="shared" ref="C76:N76" ca="1" si="27">IF($H$31&gt;I31,$H$31,I31)</f>
        <v>511.35897435897442</v>
      </c>
      <c r="D76" s="4">
        <f t="shared" ca="1" si="27"/>
        <v>511.35897435897442</v>
      </c>
      <c r="E76" s="4">
        <f t="shared" ca="1" si="27"/>
        <v>511.35897435897442</v>
      </c>
      <c r="F76" s="4">
        <f t="shared" ca="1" si="27"/>
        <v>511.35897435897442</v>
      </c>
      <c r="G76" s="4">
        <f t="shared" ca="1" si="27"/>
        <v>511.35897435897442</v>
      </c>
      <c r="H76" s="4">
        <f t="shared" ca="1" si="27"/>
        <v>511.35897435897442</v>
      </c>
      <c r="I76" s="4">
        <f t="shared" ca="1" si="27"/>
        <v>535.80799999999999</v>
      </c>
      <c r="J76" s="4">
        <f t="shared" ca="1" si="27"/>
        <v>511.35897435897442</v>
      </c>
      <c r="K76" s="4">
        <f t="shared" ca="1" si="27"/>
        <v>512.51199999999994</v>
      </c>
      <c r="L76" s="4">
        <f t="shared" ca="1" si="27"/>
        <v>511.35897435897442</v>
      </c>
      <c r="M76" s="4">
        <f t="shared" ca="1" si="27"/>
        <v>511.35897435897442</v>
      </c>
      <c r="N76" s="4">
        <f t="shared" ca="1" si="27"/>
        <v>511.35897435897442</v>
      </c>
    </row>
    <row r="77" spans="2:14">
      <c r="B77" s="5">
        <f t="shared" si="1"/>
        <v>13</v>
      </c>
      <c r="C77" s="4">
        <f t="shared" ref="C77:N77" ca="1" si="28">IF($H$32&gt;I32,$H$32,I32)</f>
        <v>474.83333333333337</v>
      </c>
      <c r="D77" s="4">
        <f t="shared" ca="1" si="28"/>
        <v>474.83333333333337</v>
      </c>
      <c r="E77" s="4">
        <f t="shared" ca="1" si="28"/>
        <v>474.83333333333337</v>
      </c>
      <c r="F77" s="4">
        <f t="shared" ca="1" si="28"/>
        <v>474.83333333333337</v>
      </c>
      <c r="G77" s="4">
        <f t="shared" ca="1" si="28"/>
        <v>474.83333333333337</v>
      </c>
      <c r="H77" s="4">
        <f t="shared" ca="1" si="28"/>
        <v>474.83333333333337</v>
      </c>
      <c r="I77" s="4">
        <f t="shared" ca="1" si="28"/>
        <v>497.53600000000006</v>
      </c>
      <c r="J77" s="4">
        <f t="shared" ca="1" si="28"/>
        <v>474.83333333333337</v>
      </c>
      <c r="K77" s="4">
        <f t="shared" ca="1" si="28"/>
        <v>475.90400000000005</v>
      </c>
      <c r="L77" s="4">
        <f t="shared" ca="1" si="28"/>
        <v>474.83333333333337</v>
      </c>
      <c r="M77" s="4">
        <f t="shared" ca="1" si="28"/>
        <v>474.83333333333337</v>
      </c>
      <c r="N77" s="4">
        <f t="shared" ca="1" si="28"/>
        <v>474.83333333333337</v>
      </c>
    </row>
    <row r="78" spans="2:14">
      <c r="B78" s="5">
        <f t="shared" si="1"/>
        <v>12</v>
      </c>
      <c r="C78" s="4">
        <f t="shared" ref="C78:N78" ca="1" si="29">IF($H$33&gt;I33,$H$33,I33)</f>
        <v>438.30769230769238</v>
      </c>
      <c r="D78" s="4">
        <f t="shared" ca="1" si="29"/>
        <v>438.30769230769238</v>
      </c>
      <c r="E78" s="4">
        <f t="shared" ca="1" si="29"/>
        <v>438.30769230769238</v>
      </c>
      <c r="F78" s="4">
        <f t="shared" ca="1" si="29"/>
        <v>438.30769230769238</v>
      </c>
      <c r="G78" s="4">
        <f t="shared" ca="1" si="29"/>
        <v>438.30769230769238</v>
      </c>
      <c r="H78" s="4">
        <f t="shared" ca="1" si="29"/>
        <v>438.30769230769238</v>
      </c>
      <c r="I78" s="4">
        <f t="shared" ca="1" si="29"/>
        <v>459.26399999999995</v>
      </c>
      <c r="J78" s="4">
        <f t="shared" ca="1" si="29"/>
        <v>438.30769230769238</v>
      </c>
      <c r="K78" s="4">
        <f t="shared" ca="1" si="29"/>
        <v>439.29599999999999</v>
      </c>
      <c r="L78" s="4">
        <f t="shared" ca="1" si="29"/>
        <v>438.30769230769238</v>
      </c>
      <c r="M78" s="4">
        <f t="shared" ca="1" si="29"/>
        <v>438.30769230769238</v>
      </c>
      <c r="N78" s="4">
        <f t="shared" ca="1" si="29"/>
        <v>438.30769230769238</v>
      </c>
    </row>
    <row r="79" spans="2:14">
      <c r="B79" s="5">
        <f t="shared" si="1"/>
        <v>11</v>
      </c>
      <c r="C79" s="4">
        <f t="shared" ref="C79:N79" ca="1" si="30">IF($H$34&gt;I34,$H$34,I34)</f>
        <v>401.78205128205138</v>
      </c>
      <c r="D79" s="4">
        <f t="shared" ca="1" si="30"/>
        <v>401.78205128205138</v>
      </c>
      <c r="E79" s="4">
        <f t="shared" ca="1" si="30"/>
        <v>401.78205128205138</v>
      </c>
      <c r="F79" s="4">
        <f t="shared" ca="1" si="30"/>
        <v>401.78205128205138</v>
      </c>
      <c r="G79" s="4">
        <f t="shared" ca="1" si="30"/>
        <v>401.78205128205138</v>
      </c>
      <c r="H79" s="4">
        <f t="shared" ca="1" si="30"/>
        <v>401.78205128205138</v>
      </c>
      <c r="I79" s="4">
        <f t="shared" ca="1" si="30"/>
        <v>420.99200000000002</v>
      </c>
      <c r="J79" s="4">
        <f t="shared" ca="1" si="30"/>
        <v>401.78205128205138</v>
      </c>
      <c r="K79" s="4">
        <f t="shared" ca="1" si="30"/>
        <v>402.68800000000005</v>
      </c>
      <c r="L79" s="4">
        <f t="shared" ca="1" si="30"/>
        <v>401.78205128205138</v>
      </c>
      <c r="M79" s="4">
        <f t="shared" ca="1" si="30"/>
        <v>401.78205128205138</v>
      </c>
      <c r="N79" s="4">
        <f t="shared" ca="1" si="30"/>
        <v>401.78205128205138</v>
      </c>
    </row>
    <row r="80" spans="2:14">
      <c r="B80" s="5">
        <f t="shared" si="1"/>
        <v>10</v>
      </c>
      <c r="C80" s="4">
        <f t="shared" ref="C80:N80" ca="1" si="31">IF($H$35&gt;I35,$H$35,I35)</f>
        <v>365.25641025641028</v>
      </c>
      <c r="D80" s="4">
        <f t="shared" ca="1" si="31"/>
        <v>365.25641025641028</v>
      </c>
      <c r="E80" s="4">
        <f t="shared" ca="1" si="31"/>
        <v>365.25641025641028</v>
      </c>
      <c r="F80" s="4">
        <f t="shared" ca="1" si="31"/>
        <v>365.25641025641028</v>
      </c>
      <c r="G80" s="4">
        <f t="shared" ca="1" si="31"/>
        <v>365.25641025641028</v>
      </c>
      <c r="H80" s="4">
        <f t="shared" ca="1" si="31"/>
        <v>365.25641025641028</v>
      </c>
      <c r="I80" s="4">
        <f t="shared" ca="1" si="31"/>
        <v>382.72</v>
      </c>
      <c r="J80" s="4">
        <f t="shared" ca="1" si="31"/>
        <v>365.25641025641028</v>
      </c>
      <c r="K80" s="4">
        <f t="shared" ca="1" si="31"/>
        <v>366.08000000000004</v>
      </c>
      <c r="L80" s="4">
        <f t="shared" ca="1" si="31"/>
        <v>365.25641025641028</v>
      </c>
      <c r="M80" s="4">
        <f t="shared" ca="1" si="31"/>
        <v>365.25641025641028</v>
      </c>
      <c r="N80" s="4">
        <f t="shared" ca="1" si="31"/>
        <v>365.25641025641028</v>
      </c>
    </row>
    <row r="81" spans="2:14">
      <c r="B81" s="5">
        <f t="shared" si="1"/>
        <v>9</v>
      </c>
      <c r="C81" s="4">
        <f t="shared" ref="C81:N81" ca="1" si="32">IF($H$36&gt;I36,$H$36,I36)</f>
        <v>328.73076923076928</v>
      </c>
      <c r="D81" s="4">
        <f t="shared" ca="1" si="32"/>
        <v>328.73076923076928</v>
      </c>
      <c r="E81" s="4">
        <f t="shared" ca="1" si="32"/>
        <v>328.73076923076928</v>
      </c>
      <c r="F81" s="4">
        <f t="shared" ca="1" si="32"/>
        <v>328.73076923076928</v>
      </c>
      <c r="G81" s="4">
        <f t="shared" ca="1" si="32"/>
        <v>328.73076923076928</v>
      </c>
      <c r="H81" s="4">
        <f t="shared" ca="1" si="32"/>
        <v>328.73076923076928</v>
      </c>
      <c r="I81" s="4">
        <f t="shared" ca="1" si="32"/>
        <v>344.44799999999998</v>
      </c>
      <c r="J81" s="4">
        <f t="shared" ca="1" si="32"/>
        <v>328.73076923076928</v>
      </c>
      <c r="K81" s="4">
        <f t="shared" ca="1" si="32"/>
        <v>329.47200000000004</v>
      </c>
      <c r="L81" s="4">
        <f t="shared" ca="1" si="32"/>
        <v>328.73076923076928</v>
      </c>
      <c r="M81" s="4">
        <f t="shared" ca="1" si="32"/>
        <v>328.73076923076928</v>
      </c>
      <c r="N81" s="4">
        <f t="shared" ca="1" si="32"/>
        <v>328.73076923076928</v>
      </c>
    </row>
    <row r="82" spans="2:14">
      <c r="B82" s="5">
        <f t="shared" si="1"/>
        <v>8</v>
      </c>
      <c r="C82" s="4">
        <f t="shared" ref="C82:N82" ca="1" si="33">IF($H$37&gt;I37,$H$37,I37)</f>
        <v>292.20512820512823</v>
      </c>
      <c r="D82" s="4">
        <f t="shared" ca="1" si="33"/>
        <v>292.20512820512823</v>
      </c>
      <c r="E82" s="4">
        <f t="shared" ca="1" si="33"/>
        <v>292.20512820512823</v>
      </c>
      <c r="F82" s="4">
        <f t="shared" ca="1" si="33"/>
        <v>292.20512820512823</v>
      </c>
      <c r="G82" s="4">
        <f t="shared" ca="1" si="33"/>
        <v>292.20512820512823</v>
      </c>
      <c r="H82" s="4">
        <f t="shared" ca="1" si="33"/>
        <v>292.20512820512823</v>
      </c>
      <c r="I82" s="4">
        <f t="shared" ca="1" si="33"/>
        <v>306.17600000000004</v>
      </c>
      <c r="J82" s="4">
        <f t="shared" ca="1" si="33"/>
        <v>292.20512820512823</v>
      </c>
      <c r="K82" s="4">
        <f t="shared" ca="1" si="33"/>
        <v>292.86400000000003</v>
      </c>
      <c r="L82" s="4">
        <f t="shared" ca="1" si="33"/>
        <v>292.20512820512823</v>
      </c>
      <c r="M82" s="4">
        <f t="shared" ca="1" si="33"/>
        <v>292.20512820512823</v>
      </c>
      <c r="N82" s="4">
        <f t="shared" ca="1" si="33"/>
        <v>292.20512820512823</v>
      </c>
    </row>
    <row r="83" spans="2:14">
      <c r="B83" s="5">
        <f t="shared" si="1"/>
        <v>7</v>
      </c>
      <c r="C83" s="4">
        <f t="shared" ref="C83:N83" ca="1" si="34">IF($H$38&gt;I38,$H$38,I38)</f>
        <v>255.67948717948721</v>
      </c>
      <c r="D83" s="4">
        <f t="shared" ca="1" si="34"/>
        <v>255.67948717948721</v>
      </c>
      <c r="E83" s="4">
        <f t="shared" ca="1" si="34"/>
        <v>255.67948717948721</v>
      </c>
      <c r="F83" s="4">
        <f t="shared" ca="1" si="34"/>
        <v>255.67948717948721</v>
      </c>
      <c r="G83" s="4">
        <f t="shared" ca="1" si="34"/>
        <v>255.67948717948721</v>
      </c>
      <c r="H83" s="4">
        <f t="shared" ca="1" si="34"/>
        <v>255.67948717948721</v>
      </c>
      <c r="I83" s="4">
        <f t="shared" ca="1" si="34"/>
        <v>267.904</v>
      </c>
      <c r="J83" s="4">
        <f t="shared" ca="1" si="34"/>
        <v>255.67948717948721</v>
      </c>
      <c r="K83" s="4">
        <f t="shared" ca="1" si="34"/>
        <v>256.25599999999997</v>
      </c>
      <c r="L83" s="4">
        <f t="shared" ca="1" si="34"/>
        <v>255.67948717948721</v>
      </c>
      <c r="M83" s="4">
        <f t="shared" ca="1" si="34"/>
        <v>255.67948717948721</v>
      </c>
      <c r="N83" s="4">
        <f t="shared" ca="1" si="34"/>
        <v>255.67948717948721</v>
      </c>
    </row>
    <row r="84" spans="2:14">
      <c r="B84" s="5">
        <f t="shared" si="1"/>
        <v>6</v>
      </c>
      <c r="C84" s="4">
        <f t="shared" ref="C84:N84" ca="1" si="35">IF($H$39&gt;I39,$H$39,I39)</f>
        <v>219.15384615384619</v>
      </c>
      <c r="D84" s="4">
        <f t="shared" ca="1" si="35"/>
        <v>219.15384615384619</v>
      </c>
      <c r="E84" s="4">
        <f t="shared" ca="1" si="35"/>
        <v>219.15384615384619</v>
      </c>
      <c r="F84" s="4">
        <f t="shared" ca="1" si="35"/>
        <v>219.15384615384619</v>
      </c>
      <c r="G84" s="4">
        <f t="shared" ca="1" si="35"/>
        <v>219.15384615384619</v>
      </c>
      <c r="H84" s="4">
        <f t="shared" ca="1" si="35"/>
        <v>219.15384615384619</v>
      </c>
      <c r="I84" s="4">
        <f t="shared" ca="1" si="35"/>
        <v>229.63199999999998</v>
      </c>
      <c r="J84" s="4">
        <f t="shared" ca="1" si="35"/>
        <v>219.15384615384619</v>
      </c>
      <c r="K84" s="4">
        <f t="shared" ca="1" si="35"/>
        <v>219.648</v>
      </c>
      <c r="L84" s="4">
        <f t="shared" ca="1" si="35"/>
        <v>219.15384615384619</v>
      </c>
      <c r="M84" s="4">
        <f t="shared" ca="1" si="35"/>
        <v>219.15384615384619</v>
      </c>
      <c r="N84" s="4">
        <f t="shared" ca="1" si="35"/>
        <v>219.15384615384619</v>
      </c>
    </row>
    <row r="85" spans="2:14">
      <c r="B85" s="5">
        <f t="shared" si="1"/>
        <v>5</v>
      </c>
      <c r="C85" s="4">
        <f t="shared" ref="C85:N85" ca="1" si="36">IF($H$40&gt;I40,$H$40,I40)</f>
        <v>182.62820512820514</v>
      </c>
      <c r="D85" s="4">
        <f t="shared" ca="1" si="36"/>
        <v>182.62820512820514</v>
      </c>
      <c r="E85" s="4">
        <f t="shared" ca="1" si="36"/>
        <v>182.62820512820514</v>
      </c>
      <c r="F85" s="4">
        <f t="shared" ca="1" si="36"/>
        <v>182.62820512820514</v>
      </c>
      <c r="G85" s="4">
        <f t="shared" ca="1" si="36"/>
        <v>182.62820512820514</v>
      </c>
      <c r="H85" s="4">
        <f t="shared" ca="1" si="36"/>
        <v>182.62820512820514</v>
      </c>
      <c r="I85" s="4">
        <f t="shared" ca="1" si="36"/>
        <v>191.36</v>
      </c>
      <c r="J85" s="4">
        <f t="shared" ca="1" si="36"/>
        <v>182.62820512820514</v>
      </c>
      <c r="K85" s="4">
        <f t="shared" ca="1" si="36"/>
        <v>183.04000000000002</v>
      </c>
      <c r="L85" s="4">
        <f t="shared" ca="1" si="36"/>
        <v>182.62820512820514</v>
      </c>
      <c r="M85" s="4">
        <f t="shared" ca="1" si="36"/>
        <v>182.62820512820514</v>
      </c>
      <c r="N85" s="4">
        <f t="shared" ca="1" si="36"/>
        <v>182.62820512820514</v>
      </c>
    </row>
    <row r="86" spans="2:14">
      <c r="B86" s="5">
        <f t="shared" si="1"/>
        <v>4</v>
      </c>
      <c r="C86" s="4">
        <f t="shared" ref="C86:N86" ca="1" si="37">IF($H$41&gt;I41,$H$41,I41)</f>
        <v>146.10256410256412</v>
      </c>
      <c r="D86" s="4">
        <f t="shared" ca="1" si="37"/>
        <v>146.10256410256412</v>
      </c>
      <c r="E86" s="4">
        <f t="shared" ca="1" si="37"/>
        <v>146.10256410256412</v>
      </c>
      <c r="F86" s="4">
        <f t="shared" ca="1" si="37"/>
        <v>146.10256410256412</v>
      </c>
      <c r="G86" s="4">
        <f t="shared" ca="1" si="37"/>
        <v>146.10256410256412</v>
      </c>
      <c r="H86" s="4">
        <f t="shared" ca="1" si="37"/>
        <v>146.10256410256412</v>
      </c>
      <c r="I86" s="4">
        <f t="shared" ca="1" si="37"/>
        <v>153.08800000000002</v>
      </c>
      <c r="J86" s="4">
        <f t="shared" ca="1" si="37"/>
        <v>146.10256410256412</v>
      </c>
      <c r="K86" s="4">
        <f t="shared" ca="1" si="37"/>
        <v>146.43200000000002</v>
      </c>
      <c r="L86" s="4">
        <f t="shared" ca="1" si="37"/>
        <v>146.10256410256412</v>
      </c>
      <c r="M86" s="4">
        <f t="shared" ca="1" si="37"/>
        <v>146.10256410256412</v>
      </c>
      <c r="N86" s="4">
        <f t="shared" ca="1" si="37"/>
        <v>146.10256410256412</v>
      </c>
    </row>
    <row r="87" spans="2:14">
      <c r="B87" s="5">
        <f t="shared" si="1"/>
        <v>3</v>
      </c>
      <c r="C87" s="4">
        <f t="shared" ref="C87:N87" ca="1" si="38">IF($H$42&gt;I42,$H$42,I42)</f>
        <v>109.57692307692309</v>
      </c>
      <c r="D87" s="4">
        <f t="shared" ca="1" si="38"/>
        <v>109.57692307692309</v>
      </c>
      <c r="E87" s="4">
        <f t="shared" ca="1" si="38"/>
        <v>109.57692307692309</v>
      </c>
      <c r="F87" s="4">
        <f t="shared" ca="1" si="38"/>
        <v>109.57692307692309</v>
      </c>
      <c r="G87" s="4">
        <f t="shared" ca="1" si="38"/>
        <v>109.57692307692309</v>
      </c>
      <c r="H87" s="4">
        <f t="shared" ca="1" si="38"/>
        <v>109.57692307692309</v>
      </c>
      <c r="I87" s="4">
        <f t="shared" ca="1" si="38"/>
        <v>114.81599999999999</v>
      </c>
      <c r="J87" s="4">
        <f t="shared" ca="1" si="38"/>
        <v>109.57692307692309</v>
      </c>
      <c r="K87" s="4">
        <f t="shared" ca="1" si="38"/>
        <v>109.824</v>
      </c>
      <c r="L87" s="4">
        <f t="shared" ca="1" si="38"/>
        <v>109.57692307692309</v>
      </c>
      <c r="M87" s="4">
        <f t="shared" ca="1" si="38"/>
        <v>109.57692307692309</v>
      </c>
      <c r="N87" s="4">
        <f t="shared" ca="1" si="38"/>
        <v>109.57692307692309</v>
      </c>
    </row>
    <row r="88" spans="2:14">
      <c r="B88" s="5">
        <f t="shared" si="1"/>
        <v>2</v>
      </c>
      <c r="C88" s="4">
        <f t="shared" ref="C88:N88" ca="1" si="39">IF($H$43&gt;I43,$H$43,I43)</f>
        <v>73.051282051282058</v>
      </c>
      <c r="D88" s="4">
        <f t="shared" ca="1" si="39"/>
        <v>73.051282051282058</v>
      </c>
      <c r="E88" s="4">
        <f t="shared" ca="1" si="39"/>
        <v>73.051282051282058</v>
      </c>
      <c r="F88" s="4">
        <f t="shared" ca="1" si="39"/>
        <v>73.051282051282058</v>
      </c>
      <c r="G88" s="4">
        <f t="shared" ca="1" si="39"/>
        <v>73.051282051282058</v>
      </c>
      <c r="H88" s="4">
        <f t="shared" ca="1" si="39"/>
        <v>73.051282051282058</v>
      </c>
      <c r="I88" s="4">
        <f t="shared" ca="1" si="39"/>
        <v>76.544000000000011</v>
      </c>
      <c r="J88" s="4">
        <f t="shared" ca="1" si="39"/>
        <v>73.051282051282058</v>
      </c>
      <c r="K88" s="4">
        <f t="shared" ca="1" si="39"/>
        <v>73.216000000000008</v>
      </c>
      <c r="L88" s="4">
        <f t="shared" ca="1" si="39"/>
        <v>73.051282051282058</v>
      </c>
      <c r="M88" s="4">
        <f t="shared" ca="1" si="39"/>
        <v>73.051282051282058</v>
      </c>
      <c r="N88" s="4">
        <f t="shared" ca="1" si="39"/>
        <v>73.051282051282058</v>
      </c>
    </row>
    <row r="89" spans="2:14">
      <c r="B89" s="5">
        <f t="shared" si="1"/>
        <v>1</v>
      </c>
      <c r="C89" s="4">
        <f t="shared" ref="C89:N89" ca="1" si="40">IF($H$44&gt;I44,$H$44,I44)</f>
        <v>36.525641025641029</v>
      </c>
      <c r="D89" s="4">
        <f t="shared" ca="1" si="40"/>
        <v>36.525641025641029</v>
      </c>
      <c r="E89" s="4">
        <f t="shared" ca="1" si="40"/>
        <v>36.525641025641029</v>
      </c>
      <c r="F89" s="4">
        <f t="shared" ca="1" si="40"/>
        <v>36.525641025641029</v>
      </c>
      <c r="G89" s="4">
        <f t="shared" ca="1" si="40"/>
        <v>36.525641025641029</v>
      </c>
      <c r="H89" s="4">
        <f t="shared" ca="1" si="40"/>
        <v>36.525641025641029</v>
      </c>
      <c r="I89" s="4">
        <f t="shared" ca="1" si="40"/>
        <v>38.272000000000006</v>
      </c>
      <c r="J89" s="4">
        <f t="shared" ca="1" si="40"/>
        <v>36.525641025641029</v>
      </c>
      <c r="K89" s="4">
        <f t="shared" ca="1" si="40"/>
        <v>36.608000000000004</v>
      </c>
      <c r="L89" s="4">
        <f t="shared" ca="1" si="40"/>
        <v>36.525641025641029</v>
      </c>
      <c r="M89" s="4">
        <f t="shared" ca="1" si="40"/>
        <v>36.525641025641029</v>
      </c>
      <c r="N89" s="4">
        <f t="shared" ca="1" si="40"/>
        <v>36.525641025641029</v>
      </c>
    </row>
    <row r="90" spans="2:14"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</row>
    <row r="91" spans="2:14"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</row>
    <row r="92" spans="2:14"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</row>
    <row r="93" spans="2:14"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</row>
    <row r="94" spans="2:14"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</row>
    <row r="95" spans="2:14"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</row>
    <row r="96" spans="2:14"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</row>
    <row r="97" spans="3:14"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5"/>
  <dimension ref="A1:CN100"/>
  <sheetViews>
    <sheetView topLeftCell="A27" workbookViewId="0">
      <selection activeCell="AB41" sqref="AB41"/>
    </sheetView>
  </sheetViews>
  <sheetFormatPr baseColWidth="10" defaultColWidth="9.1640625" defaultRowHeight="14"/>
  <cols>
    <col min="1" max="1" width="9.1640625" style="24" customWidth="1"/>
    <col min="2" max="2" width="3.33203125" style="12" customWidth="1"/>
    <col min="3" max="7" width="4.6640625" style="12" customWidth="1"/>
    <col min="8" max="8" width="4.1640625" style="12" customWidth="1"/>
    <col min="9" max="25" width="4.6640625" style="12" customWidth="1"/>
    <col min="26" max="26" width="3.33203125" style="12" customWidth="1"/>
    <col min="27" max="27" width="4.1640625" style="24" customWidth="1"/>
    <col min="28" max="28" width="46.6640625" style="24" customWidth="1"/>
    <col min="29" max="92" width="9.1640625" style="24" customWidth="1"/>
    <col min="93" max="93" width="9.1640625" style="12" customWidth="1"/>
    <col min="94" max="16384" width="9.1640625" style="12"/>
  </cols>
  <sheetData>
    <row r="1" spans="1:92" s="24" customFormat="1"/>
    <row r="2" spans="1:92" s="24" customFormat="1"/>
    <row r="3" spans="1:92" s="13" customFormat="1" ht="41.5" customHeight="1">
      <c r="A3" s="25"/>
      <c r="B3" s="204" t="s">
        <v>83</v>
      </c>
      <c r="C3" s="205"/>
      <c r="D3" s="205"/>
      <c r="E3" s="205"/>
      <c r="F3" s="205"/>
      <c r="G3" s="205"/>
      <c r="H3" s="205"/>
      <c r="I3" s="205"/>
      <c r="J3" s="205"/>
      <c r="K3" s="205"/>
      <c r="L3" s="205"/>
      <c r="M3" s="205"/>
      <c r="N3" s="205"/>
      <c r="O3" s="205"/>
      <c r="P3" s="205"/>
      <c r="Q3" s="205"/>
      <c r="R3" s="205"/>
      <c r="S3" s="205"/>
      <c r="T3" s="205"/>
      <c r="U3" s="205"/>
      <c r="V3" s="205"/>
      <c r="W3" s="205"/>
      <c r="X3" s="205"/>
      <c r="Y3" s="205"/>
      <c r="Z3" s="205"/>
      <c r="AA3" s="25"/>
      <c r="AB3" s="26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  <c r="AU3" s="25"/>
      <c r="AV3" s="25"/>
      <c r="AW3" s="25"/>
      <c r="AX3" s="25"/>
      <c r="AY3" s="25"/>
      <c r="AZ3" s="25"/>
      <c r="BA3" s="25"/>
      <c r="BB3" s="25"/>
      <c r="BC3" s="25"/>
      <c r="BD3" s="25"/>
      <c r="BE3" s="25"/>
      <c r="BF3" s="25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25"/>
      <c r="BU3" s="25"/>
      <c r="BV3" s="25"/>
      <c r="BW3" s="25"/>
      <c r="BX3" s="25"/>
      <c r="BY3" s="25"/>
      <c r="BZ3" s="25"/>
      <c r="CA3" s="25"/>
      <c r="CB3" s="25"/>
      <c r="CC3" s="25"/>
      <c r="CD3" s="25"/>
      <c r="CE3" s="25"/>
      <c r="CF3" s="25"/>
      <c r="CG3" s="25"/>
      <c r="CH3" s="25"/>
      <c r="CI3" s="25"/>
      <c r="CJ3" s="25"/>
      <c r="CK3" s="25"/>
      <c r="CL3" s="25"/>
      <c r="CM3" s="25"/>
      <c r="CN3" s="25"/>
    </row>
    <row r="4" spans="1:92"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</row>
    <row r="5" spans="1:92" ht="16.5" customHeight="1">
      <c r="B5" s="15"/>
      <c r="C5" s="15"/>
      <c r="D5" s="16" t="s">
        <v>84</v>
      </c>
      <c r="E5" s="208">
        <v>2026</v>
      </c>
      <c r="F5" s="209"/>
      <c r="G5" s="210"/>
      <c r="H5" s="15"/>
      <c r="I5" s="15"/>
      <c r="J5" s="16" t="s">
        <v>85</v>
      </c>
      <c r="K5" s="208">
        <v>1</v>
      </c>
      <c r="L5" s="210"/>
      <c r="M5" s="15"/>
      <c r="N5" s="15"/>
      <c r="O5" s="16" t="s">
        <v>86</v>
      </c>
      <c r="P5" s="208">
        <v>2</v>
      </c>
      <c r="Q5" s="210"/>
      <c r="R5" s="17" t="s">
        <v>87</v>
      </c>
      <c r="S5" s="15"/>
      <c r="T5" s="15"/>
      <c r="U5" s="15"/>
      <c r="V5" s="15"/>
      <c r="W5" s="15"/>
      <c r="X5" s="15"/>
      <c r="Y5" s="18"/>
      <c r="Z5" s="15"/>
      <c r="AB5" s="27"/>
      <c r="AC5" s="28"/>
    </row>
    <row r="6" spans="1:92"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B6" s="29"/>
      <c r="AC6" s="30"/>
    </row>
    <row r="7" spans="1:92" s="24" customFormat="1"/>
    <row r="8" spans="1:92" s="24" customFormat="1" ht="42" customHeight="1">
      <c r="C8" s="211">
        <f>IF($K$5=1,E5,E5&amp;"-"&amp;E5+1)</f>
        <v>2026</v>
      </c>
      <c r="D8" s="207"/>
      <c r="E8" s="207"/>
      <c r="F8" s="207"/>
      <c r="G8" s="207"/>
      <c r="H8" s="207"/>
      <c r="I8" s="207"/>
      <c r="J8" s="207"/>
      <c r="K8" s="207"/>
      <c r="L8" s="207"/>
      <c r="M8" s="207"/>
      <c r="N8" s="207"/>
      <c r="O8" s="207"/>
      <c r="P8" s="207"/>
      <c r="Q8" s="207"/>
      <c r="R8" s="207"/>
      <c r="S8" s="207"/>
      <c r="T8" s="207"/>
      <c r="U8" s="207"/>
      <c r="V8" s="207"/>
      <c r="W8" s="207"/>
      <c r="X8" s="207"/>
      <c r="Y8" s="207"/>
      <c r="AB8" s="30"/>
    </row>
    <row r="9" spans="1:92" s="24" customFormat="1" ht="26" customHeight="1">
      <c r="C9" s="206" t="s">
        <v>88</v>
      </c>
      <c r="D9" s="207"/>
      <c r="E9" s="207"/>
      <c r="F9" s="207"/>
      <c r="G9" s="207"/>
      <c r="H9" s="207"/>
      <c r="I9" s="207"/>
      <c r="J9" s="207"/>
      <c r="K9" s="207"/>
      <c r="L9" s="207"/>
      <c r="M9" s="207"/>
      <c r="N9" s="207"/>
      <c r="O9" s="207"/>
      <c r="P9" s="207"/>
      <c r="Q9" s="207"/>
      <c r="R9" s="207"/>
      <c r="S9" s="207"/>
      <c r="T9" s="207"/>
      <c r="U9" s="207"/>
      <c r="V9" s="207"/>
      <c r="W9" s="207"/>
      <c r="X9" s="207"/>
      <c r="Y9" s="207"/>
      <c r="AB9" s="31"/>
    </row>
    <row r="10" spans="1:92" s="24" customFormat="1"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AB10" s="32"/>
    </row>
    <row r="11" spans="1:92" s="19" customFormat="1" ht="21" customHeight="1">
      <c r="A11" s="33"/>
      <c r="B11" s="38"/>
      <c r="C11" s="200">
        <f>DATE(E5,K5,1)</f>
        <v>46023</v>
      </c>
      <c r="D11" s="201"/>
      <c r="E11" s="201"/>
      <c r="F11" s="201"/>
      <c r="G11" s="201"/>
      <c r="H11" s="201"/>
      <c r="I11" s="201"/>
      <c r="J11" s="39"/>
      <c r="K11" s="200">
        <f>DATE(YEAR(C11+42),MONTH(C11+42),1)</f>
        <v>46054</v>
      </c>
      <c r="L11" s="201"/>
      <c r="M11" s="201"/>
      <c r="N11" s="201"/>
      <c r="O11" s="201"/>
      <c r="P11" s="201"/>
      <c r="Q11" s="201"/>
      <c r="R11" s="39"/>
      <c r="S11" s="200">
        <f>DATE(YEAR(K11+42),MONTH(K11+42),1)</f>
        <v>46082</v>
      </c>
      <c r="T11" s="201"/>
      <c r="U11" s="201"/>
      <c r="V11" s="201"/>
      <c r="W11" s="201"/>
      <c r="X11" s="201"/>
      <c r="Y11" s="201"/>
      <c r="Z11" s="33"/>
      <c r="AA11" s="33"/>
      <c r="AB11" s="32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P11" s="33"/>
      <c r="AQ11" s="33"/>
      <c r="AR11" s="33"/>
      <c r="AS11" s="33"/>
      <c r="AT11" s="33"/>
      <c r="AU11" s="33"/>
      <c r="AV11" s="33"/>
      <c r="AW11" s="33"/>
      <c r="AX11" s="33"/>
      <c r="AY11" s="33"/>
      <c r="AZ11" s="33"/>
      <c r="BA11" s="33"/>
      <c r="BB11" s="33"/>
      <c r="BC11" s="33"/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3"/>
      <c r="BO11" s="33"/>
      <c r="BP11" s="33"/>
      <c r="BQ11" s="33"/>
      <c r="BR11" s="33"/>
      <c r="BS11" s="33"/>
      <c r="BT11" s="33"/>
      <c r="BU11" s="33"/>
      <c r="BV11" s="33"/>
      <c r="BW11" s="33"/>
      <c r="BX11" s="33"/>
      <c r="BY11" s="33"/>
      <c r="BZ11" s="33"/>
      <c r="CA11" s="33"/>
      <c r="CB11" s="33"/>
      <c r="CC11" s="33"/>
      <c r="CD11" s="33"/>
      <c r="CE11" s="33"/>
      <c r="CF11" s="33"/>
      <c r="CG11" s="33"/>
      <c r="CH11" s="33"/>
      <c r="CI11" s="33"/>
      <c r="CJ11" s="33"/>
      <c r="CK11" s="33"/>
      <c r="CL11" s="33"/>
      <c r="CM11" s="33"/>
      <c r="CN11" s="33"/>
    </row>
    <row r="12" spans="1:92" s="20" customFormat="1" ht="19" customHeight="1">
      <c r="A12" s="34"/>
      <c r="B12" s="33"/>
      <c r="C12" s="21" t="str">
        <f>CHOOSE(1+MOD($P$5+1-2,7),"D","L","M","M","J","V","S")</f>
        <v>L</v>
      </c>
      <c r="D12" s="21" t="str">
        <f>CHOOSE(1+MOD($P$5+2-2,7),"D","L","M","M","J","V","S")</f>
        <v>M</v>
      </c>
      <c r="E12" s="21" t="str">
        <f>CHOOSE(1+MOD($P$5+3-2,7),"D","L","M","M","J","V","S")</f>
        <v>M</v>
      </c>
      <c r="F12" s="21" t="str">
        <f>CHOOSE(1+MOD($P$5+4-2,7),"D","L","M","M","J","V","S")</f>
        <v>J</v>
      </c>
      <c r="G12" s="21" t="str">
        <f>CHOOSE(1+MOD($P$5+5-2,7),"D","L","M","M","J","V","S")</f>
        <v>V</v>
      </c>
      <c r="H12" s="21" t="str">
        <f>CHOOSE(1+MOD($P$5+6-2,7),"D","L","M","M","J","V","S")</f>
        <v>S</v>
      </c>
      <c r="I12" s="21" t="str">
        <f>CHOOSE(1+MOD($P$5+7-2,7),"D","L","M","M","J","V","S")</f>
        <v>D</v>
      </c>
      <c r="J12" s="34"/>
      <c r="K12" s="21" t="str">
        <f>CHOOSE(1+MOD($P$5+1-2,7),"D","L","M","M","J","V","S")</f>
        <v>L</v>
      </c>
      <c r="L12" s="21" t="str">
        <f>CHOOSE(1+MOD($P$5+2-2,7),"D","L","M","M","J","V","S")</f>
        <v>M</v>
      </c>
      <c r="M12" s="21" t="str">
        <f>CHOOSE(1+MOD($P$5+3-2,7),"D","L","M","M","J","V","S")</f>
        <v>M</v>
      </c>
      <c r="N12" s="21" t="str">
        <f>CHOOSE(1+MOD($P$5+4-2,7),"D","L","M","M","J","V","S")</f>
        <v>J</v>
      </c>
      <c r="O12" s="21" t="str">
        <f>CHOOSE(1+MOD($P$5+5-2,7),"D","L","M","M","J","V","S")</f>
        <v>V</v>
      </c>
      <c r="P12" s="21" t="str">
        <f>CHOOSE(1+MOD($P$5+6-2,7),"D","L","M","M","J","V","S")</f>
        <v>S</v>
      </c>
      <c r="Q12" s="21" t="str">
        <f>CHOOSE(1+MOD($P$5+7-2,7),"D","L","M","M","J","V","S")</f>
        <v>D</v>
      </c>
      <c r="R12" s="34"/>
      <c r="S12" s="21" t="str">
        <f>CHOOSE(1+MOD($P$5+1-2,7),"D","L","M","M","J","V","S")</f>
        <v>L</v>
      </c>
      <c r="T12" s="21" t="str">
        <f>CHOOSE(1+MOD($P$5+2-2,7),"D","L","M","M","J","V","S")</f>
        <v>M</v>
      </c>
      <c r="U12" s="21" t="str">
        <f>CHOOSE(1+MOD($P$5+3-2,7),"D","L","M","M","J","V","S")</f>
        <v>M</v>
      </c>
      <c r="V12" s="21" t="str">
        <f>CHOOSE(1+MOD($P$5+4-2,7),"D","L","M","M","J","V","S")</f>
        <v>J</v>
      </c>
      <c r="W12" s="21" t="str">
        <f>CHOOSE(1+MOD($P$5+5-2,7),"D","L","M","M","J","V","S")</f>
        <v>V</v>
      </c>
      <c r="X12" s="21" t="str">
        <f>CHOOSE(1+MOD($P$5+6-2,7),"D","L","M","M","J","V","S")</f>
        <v>S</v>
      </c>
      <c r="Y12" s="21" t="str">
        <f>CHOOSE(1+MOD($P$5+7-2,7),"D","L","M","M","J","V","S")</f>
        <v>D</v>
      </c>
      <c r="Z12" s="34"/>
      <c r="AA12" s="34"/>
      <c r="AB12" s="198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/>
      <c r="BM12" s="34"/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4"/>
      <c r="CC12" s="34"/>
      <c r="CD12" s="34"/>
      <c r="CE12" s="34"/>
      <c r="CF12" s="34"/>
      <c r="CG12" s="34"/>
      <c r="CH12" s="34"/>
      <c r="CI12" s="34"/>
      <c r="CJ12" s="34"/>
      <c r="CK12" s="34"/>
      <c r="CL12" s="34"/>
      <c r="CM12" s="34"/>
      <c r="CN12" s="34"/>
    </row>
    <row r="13" spans="1:92" s="22" customFormat="1" ht="19" customHeight="1">
      <c r="A13" s="35"/>
      <c r="B13" s="33"/>
      <c r="C13" s="23" t="str">
        <f>IF(WEEKDAY(C11,1)=MOD($P$5,7),C11,"")</f>
        <v/>
      </c>
      <c r="D13" s="23" t="str">
        <f>IF(C13="",IF(WEEKDAY(C11,1)=MOD($P$5,7)+1,C11,""),C13+1)</f>
        <v/>
      </c>
      <c r="E13" s="23" t="str">
        <f>IF(D13="",IF(WEEKDAY(C11,1)=MOD($P$5+1,7)+1,C11,""),D13+1)</f>
        <v/>
      </c>
      <c r="F13" s="42">
        <f>IF(E13="",IF(WEEKDAY(C11,1)=MOD($P$5+2,7)+1,C11,""),E13+1)</f>
        <v>46023</v>
      </c>
      <c r="G13" s="23">
        <f>IF(F13="",IF(WEEKDAY(C11,1)=MOD($P$5+3,7)+1,C11,""),F13+1)</f>
        <v>46024</v>
      </c>
      <c r="H13" s="42">
        <f>IF(G13="",IF(WEEKDAY(C11,1)=MOD($P$5+4,7)+1,C11,""),G13+1)</f>
        <v>46025</v>
      </c>
      <c r="I13" s="42">
        <f>IF(H13="",IF(WEEKDAY(C11,1)=MOD($P$5+5,7)+1,C11,""),H13+1)</f>
        <v>46026</v>
      </c>
      <c r="J13" s="34"/>
      <c r="K13" s="23" t="str">
        <f>IF(WEEKDAY(K11,1)=MOD($P$5,7),K11,"")</f>
        <v/>
      </c>
      <c r="L13" s="23" t="str">
        <f>IF(K13="",IF(WEEKDAY(K11,1)=MOD($P$5,7)+1,K11,""),K13+1)</f>
        <v/>
      </c>
      <c r="M13" s="23" t="str">
        <f>IF(L13="",IF(WEEKDAY(K11,1)=MOD($P$5+1,7)+1,K11,""),L13+1)</f>
        <v/>
      </c>
      <c r="N13" s="23" t="str">
        <f>IF(M13="",IF(WEEKDAY(K11,1)=MOD($P$5+2,7)+1,K11,""),M13+1)</f>
        <v/>
      </c>
      <c r="O13" s="23" t="str">
        <f>IF(N13="",IF(WEEKDAY(K11,1)=MOD($P$5+3,7)+1,K11,""),N13+1)</f>
        <v/>
      </c>
      <c r="P13" s="23" t="str">
        <f>IF(O13="",IF(WEEKDAY(K11,1)=MOD($P$5+4,7)+1,K11,""),O13+1)</f>
        <v/>
      </c>
      <c r="Q13" s="42">
        <f>IF(P13="",IF(WEEKDAY(K11,1)=MOD($P$5+5,7)+1,K11,""),P13+1)</f>
        <v>46054</v>
      </c>
      <c r="R13" s="34"/>
      <c r="S13" s="23" t="str">
        <f>IF(WEEKDAY(S11,1)=MOD($P$5,7),S11,"")</f>
        <v/>
      </c>
      <c r="T13" s="23" t="str">
        <f>IF(S13="",IF(WEEKDAY(S11,1)=MOD($P$5,7)+1,S11,""),S13+1)</f>
        <v/>
      </c>
      <c r="U13" s="23" t="str">
        <f>IF(T13="",IF(WEEKDAY(S11,1)=MOD($P$5+1,7)+1,S11,""),T13+1)</f>
        <v/>
      </c>
      <c r="V13" s="23" t="str">
        <f>IF(U13="",IF(WEEKDAY(S11,1)=MOD($P$5+2,7)+1,S11,""),U13+1)</f>
        <v/>
      </c>
      <c r="W13" s="23" t="str">
        <f>IF(V13="",IF(WEEKDAY(S11,1)=MOD($P$5+3,7)+1,S11,""),V13+1)</f>
        <v/>
      </c>
      <c r="X13" s="23" t="str">
        <f>IF(W13="",IF(WEEKDAY(S11,1)=MOD($P$5+4,7)+1,S11,""),W13+1)</f>
        <v/>
      </c>
      <c r="Y13" s="42">
        <f>IF(X13="",IF(WEEKDAY(S11,1)=MOD($P$5+5,7)+1,S11,""),X13+1)</f>
        <v>46082</v>
      </c>
      <c r="Z13" s="35"/>
      <c r="AA13" s="35"/>
      <c r="AB13" s="199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  <c r="BG13" s="35"/>
      <c r="BH13" s="35"/>
      <c r="BI13" s="35"/>
      <c r="BJ13" s="35"/>
      <c r="BK13" s="35"/>
      <c r="BL13" s="35"/>
      <c r="BM13" s="35"/>
      <c r="BN13" s="35"/>
      <c r="BO13" s="35"/>
      <c r="BP13" s="35"/>
      <c r="BQ13" s="35"/>
      <c r="BR13" s="35"/>
      <c r="BS13" s="35"/>
      <c r="BT13" s="35"/>
      <c r="BU13" s="35"/>
      <c r="BV13" s="35"/>
      <c r="BW13" s="35"/>
      <c r="BX13" s="35"/>
      <c r="BY13" s="35"/>
      <c r="BZ13" s="35"/>
      <c r="CA13" s="35"/>
      <c r="CB13" s="35"/>
      <c r="CC13" s="35"/>
      <c r="CD13" s="35"/>
      <c r="CE13" s="35"/>
      <c r="CF13" s="35"/>
      <c r="CG13" s="35"/>
      <c r="CH13" s="35"/>
      <c r="CI13" s="35"/>
      <c r="CJ13" s="35"/>
      <c r="CK13" s="35"/>
      <c r="CL13" s="35"/>
      <c r="CM13" s="35"/>
      <c r="CN13" s="35"/>
    </row>
    <row r="14" spans="1:92" s="22" customFormat="1" ht="19" customHeight="1">
      <c r="A14" s="35"/>
      <c r="B14" s="33"/>
      <c r="C14" s="23">
        <f>IF(I13="","",IF(MONTH(I13+1)&lt;&gt;MONTH(I13),"",I13+1))</f>
        <v>46027</v>
      </c>
      <c r="D14" s="42">
        <f t="shared" ref="D14:I18" si="0">IF(C14="","",IF(MONTH(C14+1)&lt;&gt;MONTH(C14),"",C14+1))</f>
        <v>46028</v>
      </c>
      <c r="E14" s="23">
        <f t="shared" si="0"/>
        <v>46029</v>
      </c>
      <c r="F14" s="23">
        <f t="shared" si="0"/>
        <v>46030</v>
      </c>
      <c r="G14" s="23">
        <f t="shared" si="0"/>
        <v>46031</v>
      </c>
      <c r="H14" s="42">
        <f t="shared" si="0"/>
        <v>46032</v>
      </c>
      <c r="I14" s="42">
        <f t="shared" si="0"/>
        <v>46033</v>
      </c>
      <c r="J14" s="34"/>
      <c r="K14" s="23">
        <f>IF(Q13="","",IF(MONTH(Q13+1)&lt;&gt;MONTH(Q13),"",Q13+1))</f>
        <v>46055</v>
      </c>
      <c r="L14" s="23">
        <f t="shared" ref="L14:Q18" si="1">IF(K14="","",IF(MONTH(K14+1)&lt;&gt;MONTH(K14),"",K14+1))</f>
        <v>46056</v>
      </c>
      <c r="M14" s="23">
        <f t="shared" si="1"/>
        <v>46057</v>
      </c>
      <c r="N14" s="23">
        <f t="shared" si="1"/>
        <v>46058</v>
      </c>
      <c r="O14" s="23">
        <f t="shared" si="1"/>
        <v>46059</v>
      </c>
      <c r="P14" s="42">
        <f t="shared" si="1"/>
        <v>46060</v>
      </c>
      <c r="Q14" s="42">
        <f t="shared" si="1"/>
        <v>46061</v>
      </c>
      <c r="R14" s="34"/>
      <c r="S14" s="23">
        <f>IF(Y13="","",IF(MONTH(Y13+1)&lt;&gt;MONTH(Y13),"",Y13+1))</f>
        <v>46083</v>
      </c>
      <c r="T14" s="23">
        <f t="shared" ref="T14:Y18" si="2">IF(S14="","",IF(MONTH(S14+1)&lt;&gt;MONTH(S14),"",S14+1))</f>
        <v>46084</v>
      </c>
      <c r="U14" s="23">
        <f t="shared" si="2"/>
        <v>46085</v>
      </c>
      <c r="V14" s="23">
        <f t="shared" si="2"/>
        <v>46086</v>
      </c>
      <c r="W14" s="23">
        <f t="shared" si="2"/>
        <v>46087</v>
      </c>
      <c r="X14" s="42">
        <f t="shared" si="2"/>
        <v>46088</v>
      </c>
      <c r="Y14" s="42">
        <f t="shared" si="2"/>
        <v>46089</v>
      </c>
      <c r="Z14" s="35"/>
      <c r="AA14" s="35"/>
      <c r="AB14" s="199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  <c r="BG14" s="35"/>
      <c r="BH14" s="35"/>
      <c r="BI14" s="35"/>
      <c r="BJ14" s="35"/>
      <c r="BK14" s="35"/>
      <c r="BL14" s="35"/>
      <c r="BM14" s="35"/>
      <c r="BN14" s="35"/>
      <c r="BO14" s="35"/>
      <c r="BP14" s="35"/>
      <c r="BQ14" s="35"/>
      <c r="BR14" s="35"/>
      <c r="BS14" s="35"/>
      <c r="BT14" s="35"/>
      <c r="BU14" s="35"/>
      <c r="BV14" s="35"/>
      <c r="BW14" s="35"/>
      <c r="BX14" s="35"/>
      <c r="BY14" s="35"/>
      <c r="BZ14" s="35"/>
      <c r="CA14" s="35"/>
      <c r="CB14" s="35"/>
      <c r="CC14" s="35"/>
      <c r="CD14" s="35"/>
      <c r="CE14" s="35"/>
      <c r="CF14" s="35"/>
      <c r="CG14" s="35"/>
      <c r="CH14" s="35"/>
      <c r="CI14" s="35"/>
      <c r="CJ14" s="35"/>
      <c r="CK14" s="35"/>
      <c r="CL14" s="35"/>
      <c r="CM14" s="35"/>
      <c r="CN14" s="35"/>
    </row>
    <row r="15" spans="1:92" s="22" customFormat="1" ht="19" customHeight="1">
      <c r="A15" s="35"/>
      <c r="B15" s="33"/>
      <c r="C15" s="23">
        <f>IF(I14="","",IF(MONTH(I14+1)&lt;&gt;MONTH(I14),"",I14+1))</f>
        <v>46034</v>
      </c>
      <c r="D15" s="23">
        <f t="shared" si="0"/>
        <v>46035</v>
      </c>
      <c r="E15" s="23">
        <f t="shared" si="0"/>
        <v>46036</v>
      </c>
      <c r="F15" s="23">
        <f t="shared" si="0"/>
        <v>46037</v>
      </c>
      <c r="G15" s="23">
        <f t="shared" si="0"/>
        <v>46038</v>
      </c>
      <c r="H15" s="42">
        <f t="shared" si="0"/>
        <v>46039</v>
      </c>
      <c r="I15" s="42">
        <f t="shared" si="0"/>
        <v>46040</v>
      </c>
      <c r="J15" s="34"/>
      <c r="K15" s="23">
        <f>IF(Q14="","",IF(MONTH(Q14+1)&lt;&gt;MONTH(Q14),"",Q14+1))</f>
        <v>46062</v>
      </c>
      <c r="L15" s="23">
        <f t="shared" si="1"/>
        <v>46063</v>
      </c>
      <c r="M15" s="23">
        <f t="shared" si="1"/>
        <v>46064</v>
      </c>
      <c r="N15" s="23">
        <f t="shared" si="1"/>
        <v>46065</v>
      </c>
      <c r="O15" s="23">
        <f t="shared" si="1"/>
        <v>46066</v>
      </c>
      <c r="P15" s="42">
        <f t="shared" si="1"/>
        <v>46067</v>
      </c>
      <c r="Q15" s="42">
        <f t="shared" si="1"/>
        <v>46068</v>
      </c>
      <c r="R15" s="34"/>
      <c r="S15" s="42">
        <f>IF(Y14="","",IF(MONTH(Y14+1)&lt;&gt;MONTH(Y14),"",Y14+1))</f>
        <v>46090</v>
      </c>
      <c r="T15" s="23">
        <f t="shared" si="2"/>
        <v>46091</v>
      </c>
      <c r="U15" s="23">
        <f t="shared" si="2"/>
        <v>46092</v>
      </c>
      <c r="V15" s="23">
        <f t="shared" si="2"/>
        <v>46093</v>
      </c>
      <c r="W15" s="23">
        <f t="shared" si="2"/>
        <v>46094</v>
      </c>
      <c r="X15" s="42">
        <f t="shared" si="2"/>
        <v>46095</v>
      </c>
      <c r="Y15" s="42">
        <f t="shared" si="2"/>
        <v>46096</v>
      </c>
      <c r="Z15" s="35"/>
      <c r="AA15" s="35"/>
      <c r="AB15" s="199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35"/>
      <c r="BF15" s="35"/>
      <c r="BG15" s="35"/>
      <c r="BH15" s="35"/>
      <c r="BI15" s="35"/>
      <c r="BJ15" s="35"/>
      <c r="BK15" s="35"/>
      <c r="BL15" s="35"/>
      <c r="BM15" s="35"/>
      <c r="BN15" s="35"/>
      <c r="BO15" s="35"/>
      <c r="BP15" s="35"/>
      <c r="BQ15" s="35"/>
      <c r="BR15" s="35"/>
      <c r="BS15" s="35"/>
      <c r="BT15" s="35"/>
      <c r="BU15" s="35"/>
      <c r="BV15" s="35"/>
      <c r="BW15" s="35"/>
      <c r="BX15" s="35"/>
      <c r="BY15" s="35"/>
      <c r="BZ15" s="35"/>
      <c r="CA15" s="35"/>
      <c r="CB15" s="35"/>
      <c r="CC15" s="35"/>
      <c r="CD15" s="35"/>
      <c r="CE15" s="35"/>
      <c r="CF15" s="35"/>
      <c r="CG15" s="35"/>
      <c r="CH15" s="35"/>
      <c r="CI15" s="35"/>
      <c r="CJ15" s="35"/>
      <c r="CK15" s="35"/>
      <c r="CL15" s="35"/>
      <c r="CM15" s="35"/>
      <c r="CN15" s="35"/>
    </row>
    <row r="16" spans="1:92" s="22" customFormat="1" ht="19" customHeight="1">
      <c r="A16" s="35"/>
      <c r="B16" s="33"/>
      <c r="C16" s="23">
        <f>IF(I15="","",IF(MONTH(I15+1)&lt;&gt;MONTH(I15),"",I15+1))</f>
        <v>46041</v>
      </c>
      <c r="D16" s="23">
        <f t="shared" si="0"/>
        <v>46042</v>
      </c>
      <c r="E16" s="23">
        <f t="shared" si="0"/>
        <v>46043</v>
      </c>
      <c r="F16" s="23">
        <f t="shared" si="0"/>
        <v>46044</v>
      </c>
      <c r="G16" s="23">
        <f t="shared" si="0"/>
        <v>46045</v>
      </c>
      <c r="H16" s="42">
        <f t="shared" si="0"/>
        <v>46046</v>
      </c>
      <c r="I16" s="42">
        <f t="shared" si="0"/>
        <v>46047</v>
      </c>
      <c r="J16" s="34"/>
      <c r="K16" s="23">
        <f>IF(Q15="","",IF(MONTH(Q15+1)&lt;&gt;MONTH(Q15),"",Q15+1))</f>
        <v>46069</v>
      </c>
      <c r="L16" s="23">
        <f t="shared" si="1"/>
        <v>46070</v>
      </c>
      <c r="M16" s="23">
        <f t="shared" si="1"/>
        <v>46071</v>
      </c>
      <c r="N16" s="23">
        <f t="shared" si="1"/>
        <v>46072</v>
      </c>
      <c r="O16" s="23">
        <f t="shared" si="1"/>
        <v>46073</v>
      </c>
      <c r="P16" s="42">
        <f t="shared" si="1"/>
        <v>46074</v>
      </c>
      <c r="Q16" s="42">
        <f t="shared" si="1"/>
        <v>46075</v>
      </c>
      <c r="R16" s="34"/>
      <c r="S16" s="23">
        <f>IF(Y15="","",IF(MONTH(Y15+1)&lt;&gt;MONTH(Y15),"",Y15+1))</f>
        <v>46097</v>
      </c>
      <c r="T16" s="23">
        <f t="shared" si="2"/>
        <v>46098</v>
      </c>
      <c r="U16" s="23">
        <f t="shared" si="2"/>
        <v>46099</v>
      </c>
      <c r="V16" s="42">
        <f t="shared" si="2"/>
        <v>46100</v>
      </c>
      <c r="W16" s="23">
        <f t="shared" si="2"/>
        <v>46101</v>
      </c>
      <c r="X16" s="42">
        <f t="shared" si="2"/>
        <v>46102</v>
      </c>
      <c r="Y16" s="42">
        <f t="shared" si="2"/>
        <v>46103</v>
      </c>
      <c r="Z16" s="35"/>
      <c r="AA16" s="35"/>
      <c r="AB16" s="199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35"/>
      <c r="BC16" s="35"/>
      <c r="BD16" s="35"/>
      <c r="BE16" s="35"/>
      <c r="BF16" s="35"/>
      <c r="BG16" s="35"/>
      <c r="BH16" s="35"/>
      <c r="BI16" s="35"/>
      <c r="BJ16" s="35"/>
      <c r="BK16" s="35"/>
      <c r="BL16" s="35"/>
      <c r="BM16" s="35"/>
      <c r="BN16" s="35"/>
      <c r="BO16" s="35"/>
      <c r="BP16" s="35"/>
      <c r="BQ16" s="35"/>
      <c r="BR16" s="35"/>
      <c r="BS16" s="35"/>
      <c r="BT16" s="35"/>
      <c r="BU16" s="35"/>
      <c r="BV16" s="35"/>
      <c r="BW16" s="35"/>
      <c r="BX16" s="35"/>
      <c r="BY16" s="35"/>
      <c r="BZ16" s="35"/>
      <c r="CA16" s="35"/>
      <c r="CB16" s="35"/>
      <c r="CC16" s="35"/>
      <c r="CD16" s="35"/>
      <c r="CE16" s="35"/>
      <c r="CF16" s="35"/>
      <c r="CG16" s="35"/>
      <c r="CH16" s="35"/>
      <c r="CI16" s="35"/>
      <c r="CJ16" s="35"/>
      <c r="CK16" s="35"/>
      <c r="CL16" s="35"/>
      <c r="CM16" s="35"/>
      <c r="CN16" s="35"/>
    </row>
    <row r="17" spans="1:92" s="22" customFormat="1" ht="19" customHeight="1">
      <c r="A17" s="35"/>
      <c r="B17" s="33"/>
      <c r="C17" s="23">
        <f>IF(I16="","",IF(MONTH(I16+1)&lt;&gt;MONTH(I16),"",I16+1))</f>
        <v>46048</v>
      </c>
      <c r="D17" s="23">
        <f t="shared" si="0"/>
        <v>46049</v>
      </c>
      <c r="E17" s="23">
        <f t="shared" si="0"/>
        <v>46050</v>
      </c>
      <c r="F17" s="23">
        <f t="shared" si="0"/>
        <v>46051</v>
      </c>
      <c r="G17" s="23">
        <f t="shared" si="0"/>
        <v>46052</v>
      </c>
      <c r="H17" s="42">
        <f t="shared" si="0"/>
        <v>46053</v>
      </c>
      <c r="I17" s="23" t="str">
        <f t="shared" si="0"/>
        <v/>
      </c>
      <c r="J17" s="34"/>
      <c r="K17" s="23">
        <f>IF(Q16="","",IF(MONTH(Q16+1)&lt;&gt;MONTH(Q16),"",Q16+1))</f>
        <v>46076</v>
      </c>
      <c r="L17" s="23">
        <f t="shared" si="1"/>
        <v>46077</v>
      </c>
      <c r="M17" s="23">
        <f t="shared" si="1"/>
        <v>46078</v>
      </c>
      <c r="N17" s="23">
        <f t="shared" si="1"/>
        <v>46079</v>
      </c>
      <c r="O17" s="23">
        <f t="shared" si="1"/>
        <v>46080</v>
      </c>
      <c r="P17" s="42">
        <f t="shared" si="1"/>
        <v>46081</v>
      </c>
      <c r="Q17" s="23" t="str">
        <f t="shared" si="1"/>
        <v/>
      </c>
      <c r="R17" s="34"/>
      <c r="S17" s="23">
        <f>IF(Y16="","",IF(MONTH(Y16+1)&lt;&gt;MONTH(Y16),"",Y16+1))</f>
        <v>46104</v>
      </c>
      <c r="T17" s="23">
        <f t="shared" si="2"/>
        <v>46105</v>
      </c>
      <c r="U17" s="23">
        <f t="shared" si="2"/>
        <v>46106</v>
      </c>
      <c r="V17" s="23">
        <f t="shared" si="2"/>
        <v>46107</v>
      </c>
      <c r="W17" s="23">
        <f t="shared" si="2"/>
        <v>46108</v>
      </c>
      <c r="X17" s="42">
        <f t="shared" si="2"/>
        <v>46109</v>
      </c>
      <c r="Y17" s="42">
        <f t="shared" si="2"/>
        <v>46110</v>
      </c>
      <c r="Z17" s="35"/>
      <c r="AA17" s="35"/>
      <c r="AB17" s="199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5"/>
      <c r="AV17" s="35"/>
      <c r="AW17" s="35"/>
      <c r="AX17" s="35"/>
      <c r="AY17" s="35"/>
      <c r="AZ17" s="35"/>
      <c r="BA17" s="35"/>
      <c r="BB17" s="35"/>
      <c r="BC17" s="35"/>
      <c r="BD17" s="35"/>
      <c r="BE17" s="35"/>
      <c r="BF17" s="35"/>
      <c r="BG17" s="35"/>
      <c r="BH17" s="35"/>
      <c r="BI17" s="35"/>
      <c r="BJ17" s="35"/>
      <c r="BK17" s="35"/>
      <c r="BL17" s="35"/>
      <c r="BM17" s="35"/>
      <c r="BN17" s="35"/>
      <c r="BO17" s="35"/>
      <c r="BP17" s="35"/>
      <c r="BQ17" s="35"/>
      <c r="BR17" s="35"/>
      <c r="BS17" s="35"/>
      <c r="BT17" s="35"/>
      <c r="BU17" s="35"/>
      <c r="BV17" s="35"/>
      <c r="BW17" s="35"/>
      <c r="BX17" s="35"/>
      <c r="BY17" s="35"/>
      <c r="BZ17" s="35"/>
      <c r="CA17" s="35"/>
      <c r="CB17" s="35"/>
      <c r="CC17" s="35"/>
      <c r="CD17" s="35"/>
      <c r="CE17" s="35"/>
      <c r="CF17" s="35"/>
      <c r="CG17" s="35"/>
      <c r="CH17" s="35"/>
      <c r="CI17" s="35"/>
      <c r="CJ17" s="35"/>
      <c r="CK17" s="35"/>
      <c r="CL17" s="35"/>
      <c r="CM17" s="35"/>
      <c r="CN17" s="35"/>
    </row>
    <row r="18" spans="1:92" s="22" customFormat="1" ht="19" customHeight="1">
      <c r="A18" s="35"/>
      <c r="B18" s="33"/>
      <c r="C18" s="23" t="str">
        <f>IF(I17="","",IF(MONTH(I17+1)&lt;&gt;MONTH(I17),"",I17+1))</f>
        <v/>
      </c>
      <c r="D18" s="23" t="str">
        <f t="shared" si="0"/>
        <v/>
      </c>
      <c r="E18" s="23" t="str">
        <f t="shared" si="0"/>
        <v/>
      </c>
      <c r="F18" s="23" t="str">
        <f t="shared" si="0"/>
        <v/>
      </c>
      <c r="G18" s="23" t="str">
        <f t="shared" si="0"/>
        <v/>
      </c>
      <c r="H18" s="23" t="str">
        <f t="shared" si="0"/>
        <v/>
      </c>
      <c r="I18" s="23" t="str">
        <f t="shared" si="0"/>
        <v/>
      </c>
      <c r="J18" s="34"/>
      <c r="K18" s="23" t="str">
        <f>IF(Q17="","",IF(MONTH(Q17+1)&lt;&gt;MONTH(Q17),"",Q17+1))</f>
        <v/>
      </c>
      <c r="L18" s="23" t="str">
        <f t="shared" si="1"/>
        <v/>
      </c>
      <c r="M18" s="23" t="str">
        <f t="shared" si="1"/>
        <v/>
      </c>
      <c r="N18" s="23" t="str">
        <f t="shared" si="1"/>
        <v/>
      </c>
      <c r="O18" s="23" t="str">
        <f t="shared" si="1"/>
        <v/>
      </c>
      <c r="P18" s="23" t="str">
        <f t="shared" si="1"/>
        <v/>
      </c>
      <c r="Q18" s="23" t="str">
        <f t="shared" si="1"/>
        <v/>
      </c>
      <c r="R18" s="34"/>
      <c r="S18" s="23">
        <f>IF(Y17="","",IF(MONTH(Y17+1)&lt;&gt;MONTH(Y17),"",Y17+1))</f>
        <v>46111</v>
      </c>
      <c r="T18" s="23">
        <f t="shared" si="2"/>
        <v>46112</v>
      </c>
      <c r="U18" s="23" t="str">
        <f t="shared" si="2"/>
        <v/>
      </c>
      <c r="V18" s="23" t="str">
        <f t="shared" si="2"/>
        <v/>
      </c>
      <c r="W18" s="23" t="str">
        <f t="shared" si="2"/>
        <v/>
      </c>
      <c r="X18" s="23" t="str">
        <f t="shared" si="2"/>
        <v/>
      </c>
      <c r="Y18" s="23" t="str">
        <f t="shared" si="2"/>
        <v/>
      </c>
      <c r="Z18" s="35"/>
      <c r="AA18" s="35"/>
      <c r="AB18" s="36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5"/>
      <c r="AV18" s="35"/>
      <c r="AW18" s="35"/>
      <c r="AX18" s="35"/>
      <c r="AY18" s="35"/>
      <c r="AZ18" s="35"/>
      <c r="BA18" s="35"/>
      <c r="BB18" s="35"/>
      <c r="BC18" s="35"/>
      <c r="BD18" s="35"/>
      <c r="BE18" s="35"/>
      <c r="BF18" s="35"/>
      <c r="BG18" s="35"/>
      <c r="BH18" s="35"/>
      <c r="BI18" s="35"/>
      <c r="BJ18" s="35"/>
      <c r="BK18" s="35"/>
      <c r="BL18" s="35"/>
      <c r="BM18" s="35"/>
      <c r="BN18" s="35"/>
      <c r="BO18" s="35"/>
      <c r="BP18" s="35"/>
      <c r="BQ18" s="35"/>
      <c r="BR18" s="35"/>
      <c r="BS18" s="35"/>
      <c r="BT18" s="35"/>
      <c r="BU18" s="35"/>
      <c r="BV18" s="35"/>
      <c r="BW18" s="35"/>
      <c r="BX18" s="35"/>
      <c r="BY18" s="35"/>
      <c r="BZ18" s="35"/>
      <c r="CA18" s="35"/>
      <c r="CB18" s="35"/>
      <c r="CC18" s="35"/>
      <c r="CD18" s="35"/>
      <c r="CE18" s="35"/>
      <c r="CF18" s="35"/>
      <c r="CG18" s="35"/>
      <c r="CH18" s="35"/>
      <c r="CI18" s="35"/>
      <c r="CJ18" s="35"/>
      <c r="CK18" s="35"/>
      <c r="CL18" s="35"/>
      <c r="CM18" s="35"/>
      <c r="CN18" s="35"/>
    </row>
    <row r="19" spans="1:92" s="35" customFormat="1" ht="20" customHeight="1" thickBot="1">
      <c r="B19" s="33"/>
      <c r="C19" s="41"/>
      <c r="D19" s="41"/>
      <c r="E19" s="41"/>
      <c r="F19" s="41"/>
      <c r="G19" s="41"/>
      <c r="H19" s="41"/>
      <c r="I19" s="41"/>
      <c r="J19" s="34"/>
      <c r="K19" s="41"/>
      <c r="L19" s="41"/>
      <c r="M19" s="41"/>
      <c r="N19" s="41"/>
      <c r="O19" s="41"/>
      <c r="P19" s="41"/>
      <c r="Q19" s="41"/>
      <c r="R19" s="34"/>
      <c r="S19" s="41"/>
      <c r="T19" s="41"/>
      <c r="U19" s="41"/>
      <c r="V19" s="41"/>
      <c r="W19" s="41"/>
      <c r="X19" s="41"/>
      <c r="Y19" s="41"/>
      <c r="AB19" s="36"/>
    </row>
    <row r="20" spans="1:92" s="35" customFormat="1" ht="20" customHeight="1" thickBot="1">
      <c r="B20" s="33"/>
      <c r="C20" s="203" t="s">
        <v>89</v>
      </c>
      <c r="D20" s="165"/>
      <c r="E20" s="165"/>
      <c r="F20" s="165"/>
      <c r="G20" s="185"/>
      <c r="H20" s="43">
        <f t="array" aca="1" ref="H20" ca="1">COUNT(C13:I17)-CONTARCOLOR(H21,C13:I18)</f>
        <v>20</v>
      </c>
      <c r="I20" s="41"/>
      <c r="J20" s="34"/>
      <c r="K20" s="203" t="s">
        <v>89</v>
      </c>
      <c r="L20" s="165"/>
      <c r="M20" s="165"/>
      <c r="N20" s="165"/>
      <c r="O20" s="185"/>
      <c r="P20" s="43">
        <f t="array" aca="1" ref="P20" ca="1">COUNT(K13:Q17)-CONTARCOLOR(P21,K13:Q17)</f>
        <v>20</v>
      </c>
      <c r="Q20" s="41"/>
      <c r="R20" s="34"/>
      <c r="S20" s="203" t="s">
        <v>89</v>
      </c>
      <c r="T20" s="165"/>
      <c r="U20" s="165"/>
      <c r="V20" s="165"/>
      <c r="W20" s="185"/>
      <c r="X20" s="43">
        <f t="array" aca="1" ref="X20" ca="1">COUNT(S13:Y18)-CONTARCOLOR(X21,S13:Y18)</f>
        <v>20</v>
      </c>
      <c r="Y20" s="41"/>
      <c r="AB20" s="36"/>
    </row>
    <row r="21" spans="1:92" s="35" customFormat="1" ht="19" customHeight="1">
      <c r="B21" s="33"/>
      <c r="C21" s="41"/>
      <c r="D21" s="41"/>
      <c r="E21" s="41"/>
      <c r="F21" s="41"/>
      <c r="G21" s="41"/>
      <c r="H21" s="42"/>
      <c r="I21" s="41"/>
      <c r="J21" s="34"/>
      <c r="K21" s="41"/>
      <c r="L21" s="41"/>
      <c r="M21" s="41"/>
      <c r="N21" s="41"/>
      <c r="O21" s="41"/>
      <c r="P21" s="42"/>
      <c r="Q21" s="41"/>
      <c r="R21" s="34"/>
      <c r="S21" s="41"/>
      <c r="T21" s="41"/>
      <c r="U21" s="41"/>
      <c r="V21" s="41"/>
      <c r="W21" s="41"/>
      <c r="X21" s="42"/>
      <c r="Y21" s="41"/>
      <c r="AB21" s="36"/>
    </row>
    <row r="22" spans="1:92" s="24" customFormat="1" ht="19" customHeight="1">
      <c r="B22" s="33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</row>
    <row r="23" spans="1:92" ht="21" customHeight="1">
      <c r="B23" s="38"/>
      <c r="C23" s="200">
        <f>DATE(YEAR(S11+42),MONTH(S11+42),1)</f>
        <v>46113</v>
      </c>
      <c r="D23" s="202"/>
      <c r="E23" s="202"/>
      <c r="F23" s="202"/>
      <c r="G23" s="202"/>
      <c r="H23" s="202"/>
      <c r="I23" s="202"/>
      <c r="J23" s="39"/>
      <c r="K23" s="200">
        <f>DATE(YEAR(C23+42),MONTH(C23+42),1)</f>
        <v>46143</v>
      </c>
      <c r="L23" s="202"/>
      <c r="M23" s="202"/>
      <c r="N23" s="202"/>
      <c r="O23" s="202"/>
      <c r="P23" s="202"/>
      <c r="Q23" s="202"/>
      <c r="R23" s="39"/>
      <c r="S23" s="200">
        <f>DATE(YEAR(K23+42),MONTH(K23+42),1)</f>
        <v>46174</v>
      </c>
      <c r="T23" s="202"/>
      <c r="U23" s="202"/>
      <c r="V23" s="202"/>
      <c r="W23" s="202"/>
      <c r="X23" s="202"/>
      <c r="Y23" s="202"/>
      <c r="Z23" s="24"/>
      <c r="AB23" s="32"/>
    </row>
    <row r="24" spans="1:92" ht="18.75" customHeight="1">
      <c r="B24" s="33"/>
      <c r="C24" s="21" t="str">
        <f>CHOOSE(1+MOD($P$5+1-2,7),"D","L","M","M","J","V","S")</f>
        <v>L</v>
      </c>
      <c r="D24" s="21" t="str">
        <f>CHOOSE(1+MOD($P$5+2-2,7),"D","L","M","M","J","V","S")</f>
        <v>M</v>
      </c>
      <c r="E24" s="21" t="str">
        <f>CHOOSE(1+MOD($P$5+3-2,7),"D","L","M","M","J","V","S")</f>
        <v>M</v>
      </c>
      <c r="F24" s="21" t="str">
        <f>CHOOSE(1+MOD($P$5+4-2,7),"D","L","M","M","J","V","S")</f>
        <v>J</v>
      </c>
      <c r="G24" s="21" t="str">
        <f>CHOOSE(1+MOD($P$5+5-2,7),"D","L","M","M","J","V","S")</f>
        <v>V</v>
      </c>
      <c r="H24" s="21" t="str">
        <f>CHOOSE(1+MOD($P$5+6-2,7),"D","L","M","M","J","V","S")</f>
        <v>S</v>
      </c>
      <c r="I24" s="21" t="str">
        <f>CHOOSE(1+MOD($P$5+7-2,7),"D","L","M","M","J","V","S")</f>
        <v>D</v>
      </c>
      <c r="J24" s="34"/>
      <c r="K24" s="21" t="str">
        <f>CHOOSE(1+MOD($P$5+1-2,7),"D","L","M","M","J","V","S")</f>
        <v>L</v>
      </c>
      <c r="L24" s="21" t="str">
        <f>CHOOSE(1+MOD($P$5+2-2,7),"D","L","M","M","J","V","S")</f>
        <v>M</v>
      </c>
      <c r="M24" s="21" t="str">
        <f>CHOOSE(1+MOD($P$5+3-2,7),"D","L","M","M","J","V","S")</f>
        <v>M</v>
      </c>
      <c r="N24" s="21" t="str">
        <f>CHOOSE(1+MOD($P$5+4-2,7),"D","L","M","M","J","V","S")</f>
        <v>J</v>
      </c>
      <c r="O24" s="21" t="str">
        <f>CHOOSE(1+MOD($P$5+5-2,7),"D","L","M","M","J","V","S")</f>
        <v>V</v>
      </c>
      <c r="P24" s="21" t="str">
        <f>CHOOSE(1+MOD($P$5+6-2,7),"D","L","M","M","J","V","S")</f>
        <v>S</v>
      </c>
      <c r="Q24" s="21" t="str">
        <f>CHOOSE(1+MOD($P$5+7-2,7),"D","L","M","M","J","V","S")</f>
        <v>D</v>
      </c>
      <c r="R24" s="34"/>
      <c r="S24" s="21" t="str">
        <f>CHOOSE(1+MOD($P$5+1-2,7),"D","L","M","M","J","V","S")</f>
        <v>L</v>
      </c>
      <c r="T24" s="21" t="str">
        <f>CHOOSE(1+MOD($P$5+2-2,7),"D","L","M","M","J","V","S")</f>
        <v>M</v>
      </c>
      <c r="U24" s="21" t="str">
        <f>CHOOSE(1+MOD($P$5+3-2,7),"D","L","M","M","J","V","S")</f>
        <v>M</v>
      </c>
      <c r="V24" s="21" t="str">
        <f>CHOOSE(1+MOD($P$5+4-2,7),"D","L","M","M","J","V","S")</f>
        <v>J</v>
      </c>
      <c r="W24" s="21" t="str">
        <f>CHOOSE(1+MOD($P$5+5-2,7),"D","L","M","M","J","V","S")</f>
        <v>V</v>
      </c>
      <c r="X24" s="21" t="str">
        <f>CHOOSE(1+MOD($P$5+6-2,7),"D","L","M","M","J","V","S")</f>
        <v>S</v>
      </c>
      <c r="Y24" s="21" t="str">
        <f>CHOOSE(1+MOD($P$5+7-2,7),"D","L","M","M","J","V","S")</f>
        <v>D</v>
      </c>
      <c r="Z24" s="24"/>
      <c r="AB24" s="37"/>
    </row>
    <row r="25" spans="1:92" ht="19" customHeight="1">
      <c r="B25" s="33"/>
      <c r="C25" s="23" t="str">
        <f>IF(WEEKDAY(C23,1)=MOD($P$5,7),C23,"")</f>
        <v/>
      </c>
      <c r="D25" s="23" t="str">
        <f>IF(C25="",IF(WEEKDAY(C23,1)=MOD($P$5,7)+1,C23,""),C25+1)</f>
        <v/>
      </c>
      <c r="E25" s="23">
        <f>IF(D25="",IF(WEEKDAY(C23,1)=MOD($P$5+1,7)+1,C23,""),D25+1)</f>
        <v>46113</v>
      </c>
      <c r="F25" s="23">
        <f>IF(E25="",IF(WEEKDAY(C23,1)=MOD($P$5+2,7)+1,C23,""),E25+1)</f>
        <v>46114</v>
      </c>
      <c r="G25" s="42">
        <f>IF(F25="",IF(WEEKDAY(C23,1)=MOD($P$5+3,7)+1,C23,""),F25+1)</f>
        <v>46115</v>
      </c>
      <c r="H25" s="42">
        <f>IF(G25="",IF(WEEKDAY(C23,1)=MOD($P$5+4,7)+1,C23,""),G25+1)</f>
        <v>46116</v>
      </c>
      <c r="I25" s="42">
        <f>IF(H25="",IF(WEEKDAY(C23,1)=MOD($P$5+5,7)+1,C23,""),H25+1)</f>
        <v>46117</v>
      </c>
      <c r="J25" s="34"/>
      <c r="K25" s="23" t="str">
        <f>IF(WEEKDAY(K23,1)=MOD($P$5,7),K23,"")</f>
        <v/>
      </c>
      <c r="L25" s="23" t="str">
        <f>IF(K25="",IF(WEEKDAY(K23,1)=MOD($P$5,7)+1,K23,""),K25+1)</f>
        <v/>
      </c>
      <c r="M25" s="23" t="str">
        <f>IF(L25="",IF(WEEKDAY(K23,1)=MOD($P$5+1,7)+1,K23,""),L25+1)</f>
        <v/>
      </c>
      <c r="N25" s="23" t="str">
        <f>IF(M25="",IF(WEEKDAY(K23,1)=MOD($P$5+2,7)+1,K23,""),M25+1)</f>
        <v/>
      </c>
      <c r="O25" s="42">
        <f>IF(N25="",IF(WEEKDAY(K23,1)=MOD($P$5+3,7)+1,K23,""),N25+1)</f>
        <v>46143</v>
      </c>
      <c r="P25" s="42">
        <f>IF(O25="",IF(WEEKDAY(K23,1)=MOD($P$5+4,7)+1,K23,""),O25+1)</f>
        <v>46144</v>
      </c>
      <c r="Q25" s="42">
        <f>IF(P25="",IF(WEEKDAY(K23,1)=MOD($P$5+5,7)+1,K23,""),P25+1)</f>
        <v>46145</v>
      </c>
      <c r="R25" s="34"/>
      <c r="S25" s="23">
        <f>IF(WEEKDAY(S23,1)=MOD($P$5,7),S23,"")</f>
        <v>46174</v>
      </c>
      <c r="T25" s="23">
        <f>IF(S25="",IF(WEEKDAY(S23,1)=MOD($P$5,7)+1,S23,""),S25+1)</f>
        <v>46175</v>
      </c>
      <c r="U25" s="23">
        <f>IF(T25="",IF(WEEKDAY(S23,1)=MOD($P$5+1,7)+1,S23,""),T25+1)</f>
        <v>46176</v>
      </c>
      <c r="V25" s="23">
        <f>IF(U25="",IF(WEEKDAY(S23,1)=MOD($P$5+2,7)+1,S23,""),U25+1)</f>
        <v>46177</v>
      </c>
      <c r="W25" s="23">
        <f>IF(V25="",IF(WEEKDAY(S23,1)=MOD($P$5+3,7)+1,S23,""),V25+1)</f>
        <v>46178</v>
      </c>
      <c r="X25" s="42">
        <f>IF(W25="",IF(WEEKDAY(S23,1)=MOD($P$5+4,7)+1,S23,""),W25+1)</f>
        <v>46179</v>
      </c>
      <c r="Y25" s="42">
        <f>IF(X25="",IF(WEEKDAY(S23,1)=MOD($P$5+5,7)+1,S23,""),X25+1)</f>
        <v>46180</v>
      </c>
      <c r="Z25" s="24"/>
      <c r="AB25" s="37"/>
    </row>
    <row r="26" spans="1:92" ht="19" customHeight="1">
      <c r="B26" s="33"/>
      <c r="C26" s="42">
        <f>IF(I25="","",IF(MONTH(I25+1)&lt;&gt;MONTH(I25),"",I25+1))</f>
        <v>46118</v>
      </c>
      <c r="D26" s="23">
        <f t="shared" ref="D26:I29" si="3">IF(C26="","",IF(MONTH(C26+1)&lt;&gt;MONTH(C26),"",C26+1))</f>
        <v>46119</v>
      </c>
      <c r="E26" s="23">
        <f t="shared" si="3"/>
        <v>46120</v>
      </c>
      <c r="F26" s="23">
        <f t="shared" si="3"/>
        <v>46121</v>
      </c>
      <c r="G26" s="23">
        <f t="shared" si="3"/>
        <v>46122</v>
      </c>
      <c r="H26" s="42">
        <f t="shared" si="3"/>
        <v>46123</v>
      </c>
      <c r="I26" s="42">
        <f t="shared" si="3"/>
        <v>46124</v>
      </c>
      <c r="J26" s="34"/>
      <c r="K26" s="23">
        <f>IF(Q25="","",IF(MONTH(Q25+1)&lt;&gt;MONTH(Q25),"",Q25+1))</f>
        <v>46146</v>
      </c>
      <c r="L26" s="23">
        <f t="shared" ref="L26:Q29" si="4">IF(K26="","",IF(MONTH(K26+1)&lt;&gt;MONTH(K26),"",K26+1))</f>
        <v>46147</v>
      </c>
      <c r="M26" s="23">
        <f t="shared" si="4"/>
        <v>46148</v>
      </c>
      <c r="N26" s="23">
        <f t="shared" si="4"/>
        <v>46149</v>
      </c>
      <c r="O26" s="23">
        <f t="shared" si="4"/>
        <v>46150</v>
      </c>
      <c r="P26" s="42">
        <f t="shared" si="4"/>
        <v>46151</v>
      </c>
      <c r="Q26" s="42">
        <f t="shared" si="4"/>
        <v>46152</v>
      </c>
      <c r="R26" s="34"/>
      <c r="S26" s="23">
        <f>IF(Y25="","",IF(MONTH(Y25+1)&lt;&gt;MONTH(Y25),"",Y25+1))</f>
        <v>46181</v>
      </c>
      <c r="T26" s="23">
        <f t="shared" ref="T26:Y29" si="5">IF(S26="","",IF(MONTH(S26+1)&lt;&gt;MONTH(S26),"",S26+1))</f>
        <v>46182</v>
      </c>
      <c r="U26" s="23">
        <f t="shared" si="5"/>
        <v>46183</v>
      </c>
      <c r="V26" s="23">
        <f t="shared" si="5"/>
        <v>46184</v>
      </c>
      <c r="W26" s="23">
        <f t="shared" si="5"/>
        <v>46185</v>
      </c>
      <c r="X26" s="42">
        <f t="shared" si="5"/>
        <v>46186</v>
      </c>
      <c r="Y26" s="42">
        <f t="shared" si="5"/>
        <v>46187</v>
      </c>
      <c r="Z26" s="24"/>
      <c r="AB26" s="37"/>
    </row>
    <row r="27" spans="1:92" ht="19" customHeight="1">
      <c r="B27" s="33"/>
      <c r="C27" s="23">
        <f>IF(I26="","",IF(MONTH(I26+1)&lt;&gt;MONTH(I26),"",I26+1))</f>
        <v>46125</v>
      </c>
      <c r="D27" s="23">
        <f t="shared" si="3"/>
        <v>46126</v>
      </c>
      <c r="E27" s="23">
        <f t="shared" si="3"/>
        <v>46127</v>
      </c>
      <c r="F27" s="23">
        <f t="shared" si="3"/>
        <v>46128</v>
      </c>
      <c r="G27" s="23">
        <f t="shared" si="3"/>
        <v>46129</v>
      </c>
      <c r="H27" s="42">
        <f t="shared" si="3"/>
        <v>46130</v>
      </c>
      <c r="I27" s="42">
        <f t="shared" si="3"/>
        <v>46131</v>
      </c>
      <c r="J27" s="34"/>
      <c r="K27" s="23">
        <f>IF(Q26="","",IF(MONTH(Q26+1)&lt;&gt;MONTH(Q26),"",Q26+1))</f>
        <v>46153</v>
      </c>
      <c r="L27" s="23">
        <f t="shared" si="4"/>
        <v>46154</v>
      </c>
      <c r="M27" s="23">
        <f t="shared" si="4"/>
        <v>46155</v>
      </c>
      <c r="N27" s="23">
        <f t="shared" si="4"/>
        <v>46156</v>
      </c>
      <c r="O27" s="23">
        <f t="shared" si="4"/>
        <v>46157</v>
      </c>
      <c r="P27" s="42">
        <f t="shared" si="4"/>
        <v>46158</v>
      </c>
      <c r="Q27" s="42">
        <f t="shared" si="4"/>
        <v>46159</v>
      </c>
      <c r="R27" s="34"/>
      <c r="S27" s="23">
        <f>IF(Y26="","",IF(MONTH(Y26+1)&lt;&gt;MONTH(Y26),"",Y26+1))</f>
        <v>46188</v>
      </c>
      <c r="T27" s="23">
        <f t="shared" si="5"/>
        <v>46189</v>
      </c>
      <c r="U27" s="23">
        <f t="shared" si="5"/>
        <v>46190</v>
      </c>
      <c r="V27" s="23">
        <f t="shared" si="5"/>
        <v>46191</v>
      </c>
      <c r="W27" s="23">
        <f t="shared" si="5"/>
        <v>46192</v>
      </c>
      <c r="X27" s="42">
        <f t="shared" si="5"/>
        <v>46193</v>
      </c>
      <c r="Y27" s="42">
        <f t="shared" si="5"/>
        <v>46194</v>
      </c>
      <c r="Z27" s="24"/>
      <c r="AB27" s="37"/>
    </row>
    <row r="28" spans="1:92" ht="19" customHeight="1">
      <c r="B28" s="33"/>
      <c r="C28" s="23">
        <f>IF(I27="","",IF(MONTH(I27+1)&lt;&gt;MONTH(I27),"",I27+1))</f>
        <v>46132</v>
      </c>
      <c r="D28" s="23">
        <f t="shared" si="3"/>
        <v>46133</v>
      </c>
      <c r="E28" s="23">
        <f t="shared" si="3"/>
        <v>46134</v>
      </c>
      <c r="F28" s="23">
        <f t="shared" si="3"/>
        <v>46135</v>
      </c>
      <c r="G28" s="23">
        <f t="shared" si="3"/>
        <v>46136</v>
      </c>
      <c r="H28" s="42">
        <f t="shared" si="3"/>
        <v>46137</v>
      </c>
      <c r="I28" s="42">
        <f t="shared" si="3"/>
        <v>46138</v>
      </c>
      <c r="J28" s="34"/>
      <c r="K28" s="23">
        <f>IF(Q27="","",IF(MONTH(Q27+1)&lt;&gt;MONTH(Q27),"",Q27+1))</f>
        <v>46160</v>
      </c>
      <c r="L28" s="23">
        <f t="shared" si="4"/>
        <v>46161</v>
      </c>
      <c r="M28" s="23">
        <f t="shared" si="4"/>
        <v>46162</v>
      </c>
      <c r="N28" s="23">
        <f t="shared" si="4"/>
        <v>46163</v>
      </c>
      <c r="O28" s="23">
        <f t="shared" si="4"/>
        <v>46164</v>
      </c>
      <c r="P28" s="42">
        <f t="shared" si="4"/>
        <v>46165</v>
      </c>
      <c r="Q28" s="42">
        <f t="shared" si="4"/>
        <v>46166</v>
      </c>
      <c r="R28" s="34"/>
      <c r="S28" s="23">
        <f>IF(Y27="","",IF(MONTH(Y27+1)&lt;&gt;MONTH(Y27),"",Y27+1))</f>
        <v>46195</v>
      </c>
      <c r="T28" s="23">
        <f t="shared" si="5"/>
        <v>46196</v>
      </c>
      <c r="U28" s="42">
        <f t="shared" si="5"/>
        <v>46197</v>
      </c>
      <c r="V28" s="23">
        <f t="shared" si="5"/>
        <v>46198</v>
      </c>
      <c r="W28" s="23">
        <f t="shared" si="5"/>
        <v>46199</v>
      </c>
      <c r="X28" s="42">
        <f t="shared" si="5"/>
        <v>46200</v>
      </c>
      <c r="Y28" s="42">
        <f t="shared" si="5"/>
        <v>46201</v>
      </c>
      <c r="Z28" s="24"/>
      <c r="AB28" s="37"/>
    </row>
    <row r="29" spans="1:92" ht="19" customHeight="1">
      <c r="B29" s="33"/>
      <c r="C29" s="23">
        <f>IF(I28="","",IF(MONTH(I28+1)&lt;&gt;MONTH(I28),"",I28+1))</f>
        <v>46139</v>
      </c>
      <c r="D29" s="23">
        <f t="shared" si="3"/>
        <v>46140</v>
      </c>
      <c r="E29" s="23">
        <f t="shared" si="3"/>
        <v>46141</v>
      </c>
      <c r="F29" s="23">
        <f t="shared" si="3"/>
        <v>46142</v>
      </c>
      <c r="G29" s="23" t="str">
        <f t="shared" si="3"/>
        <v/>
      </c>
      <c r="H29" s="23" t="str">
        <f t="shared" si="3"/>
        <v/>
      </c>
      <c r="I29" s="23" t="str">
        <f t="shared" si="3"/>
        <v/>
      </c>
      <c r="J29" s="34"/>
      <c r="K29" s="23">
        <f>IF(Q28="","",IF(MONTH(Q28+1)&lt;&gt;MONTH(Q28),"",Q28+1))</f>
        <v>46167</v>
      </c>
      <c r="L29" s="23">
        <f t="shared" si="4"/>
        <v>46168</v>
      </c>
      <c r="M29" s="23">
        <f t="shared" si="4"/>
        <v>46169</v>
      </c>
      <c r="N29" s="23">
        <f t="shared" si="4"/>
        <v>46170</v>
      </c>
      <c r="O29" s="23">
        <f t="shared" si="4"/>
        <v>46171</v>
      </c>
      <c r="P29" s="42">
        <f t="shared" si="4"/>
        <v>46172</v>
      </c>
      <c r="Q29" s="42">
        <f t="shared" si="4"/>
        <v>46173</v>
      </c>
      <c r="R29" s="34"/>
      <c r="S29" s="42">
        <f>IF(Y28="","",IF(MONTH(Y28+1)&lt;&gt;MONTH(Y28),"",Y28+1))</f>
        <v>46202</v>
      </c>
      <c r="T29" s="23">
        <f t="shared" si="5"/>
        <v>46203</v>
      </c>
      <c r="U29" s="23" t="str">
        <f t="shared" si="5"/>
        <v/>
      </c>
      <c r="V29" s="23" t="str">
        <f t="shared" si="5"/>
        <v/>
      </c>
      <c r="W29" s="23" t="str">
        <f t="shared" si="5"/>
        <v/>
      </c>
      <c r="X29" s="23" t="str">
        <f t="shared" si="5"/>
        <v/>
      </c>
      <c r="Y29" s="23" t="str">
        <f t="shared" si="5"/>
        <v/>
      </c>
      <c r="Z29" s="24"/>
      <c r="AB29" s="37"/>
    </row>
    <row r="30" spans="1:92" s="24" customFormat="1" ht="20" customHeight="1" thickBot="1">
      <c r="B30" s="33"/>
      <c r="C30" s="41"/>
      <c r="D30" s="41"/>
      <c r="E30" s="41"/>
      <c r="F30" s="41"/>
      <c r="G30" s="41"/>
      <c r="H30" s="41"/>
      <c r="I30" s="41"/>
      <c r="J30" s="34"/>
      <c r="K30" s="41"/>
      <c r="L30" s="41"/>
      <c r="M30" s="41"/>
      <c r="N30" s="41"/>
      <c r="O30" s="41"/>
      <c r="P30" s="41"/>
      <c r="Q30" s="41"/>
      <c r="R30" s="34"/>
      <c r="S30" s="41"/>
      <c r="T30" s="41"/>
      <c r="U30" s="41"/>
      <c r="V30" s="41"/>
      <c r="W30" s="41"/>
      <c r="X30" s="41"/>
      <c r="Y30" s="41"/>
      <c r="AB30" s="37"/>
    </row>
    <row r="31" spans="1:92" s="24" customFormat="1" ht="20" customHeight="1" thickBot="1">
      <c r="B31" s="33"/>
      <c r="C31" s="203" t="s">
        <v>89</v>
      </c>
      <c r="D31" s="165"/>
      <c r="E31" s="165"/>
      <c r="F31" s="165"/>
      <c r="G31" s="185"/>
      <c r="H31" s="43">
        <f t="array" aca="1" ref="H31" ca="1">COUNT(C25:I29)-CONTARCOLOR(H32,C25:I29)</f>
        <v>20</v>
      </c>
      <c r="I31" s="41"/>
      <c r="J31" s="34"/>
      <c r="K31" s="203" t="s">
        <v>89</v>
      </c>
      <c r="L31" s="165"/>
      <c r="M31" s="165"/>
      <c r="N31" s="165"/>
      <c r="O31" s="185"/>
      <c r="P31" s="43">
        <f t="array" aca="1" ref="P31" ca="1">COUNT(K25:Q29)-CONTARCOLOR(P32,K25:Q29)</f>
        <v>20</v>
      </c>
      <c r="Q31" s="41"/>
      <c r="R31" s="34"/>
      <c r="S31" s="203" t="s">
        <v>89</v>
      </c>
      <c r="T31" s="165"/>
      <c r="U31" s="165"/>
      <c r="V31" s="165"/>
      <c r="W31" s="185"/>
      <c r="X31" s="43">
        <f t="array" aca="1" ref="X31" ca="1">COUNT(S25:Y29)-CONTARCOLOR(X32,S25:Y29)</f>
        <v>20</v>
      </c>
      <c r="Y31" s="41"/>
      <c r="AB31" s="37"/>
    </row>
    <row r="32" spans="1:92" s="24" customFormat="1" ht="19" customHeight="1">
      <c r="B32" s="33"/>
      <c r="C32" s="41" t="str">
        <f>IF(I29="","",IF(MONTH(I29+1)&lt;&gt;MONTH(I29),"",I29+1))</f>
        <v/>
      </c>
      <c r="D32" s="41" t="str">
        <f>IF(C32="","",IF(MONTH(C32+1)&lt;&gt;MONTH(C32),"",C32+1))</f>
        <v/>
      </c>
      <c r="E32" s="41" t="str">
        <f>IF(D32="","",IF(MONTH(D32+1)&lt;&gt;MONTH(D32),"",D32+1))</f>
        <v/>
      </c>
      <c r="F32" s="41" t="str">
        <f>IF(E32="","",IF(MONTH(E32+1)&lt;&gt;MONTH(E32),"",E32+1))</f>
        <v/>
      </c>
      <c r="G32" s="41" t="str">
        <f>IF(F32="","",IF(MONTH(F32+1)&lt;&gt;MONTH(F32),"",F32+1))</f>
        <v/>
      </c>
      <c r="H32" s="42"/>
      <c r="I32" s="41" t="str">
        <f>IF(H32="","",IF(MONTH(H32+1)&lt;&gt;MONTH(H32),"",H32+1))</f>
        <v/>
      </c>
      <c r="J32" s="34"/>
      <c r="K32" s="41" t="str">
        <f>IF(Q29="","",IF(MONTH(Q29+1)&lt;&gt;MONTH(Q29),"",Q29+1))</f>
        <v/>
      </c>
      <c r="L32" s="41" t="str">
        <f t="shared" ref="L32:Q32" si="6">IF(K32="","",IF(MONTH(K32+1)&lt;&gt;MONTH(K32),"",K32+1))</f>
        <v/>
      </c>
      <c r="M32" s="41" t="str">
        <f t="shared" si="6"/>
        <v/>
      </c>
      <c r="N32" s="41" t="str">
        <f t="shared" si="6"/>
        <v/>
      </c>
      <c r="O32" s="41" t="str">
        <f t="shared" si="6"/>
        <v/>
      </c>
      <c r="P32" s="42" t="str">
        <f t="shared" si="6"/>
        <v/>
      </c>
      <c r="Q32" s="41" t="str">
        <f t="shared" si="6"/>
        <v/>
      </c>
      <c r="R32" s="34"/>
      <c r="S32" s="41"/>
      <c r="T32" s="41" t="str">
        <f t="shared" ref="T32:Y32" si="7">IF(S32="","",IF(MONTH(S32+1)&lt;&gt;MONTH(S32),"",S32+1))</f>
        <v/>
      </c>
      <c r="U32" s="41" t="str">
        <f t="shared" si="7"/>
        <v/>
      </c>
      <c r="V32" s="41" t="str">
        <f t="shared" si="7"/>
        <v/>
      </c>
      <c r="W32" s="41" t="str">
        <f t="shared" si="7"/>
        <v/>
      </c>
      <c r="X32" s="42" t="str">
        <f t="shared" si="7"/>
        <v/>
      </c>
      <c r="Y32" s="41" t="str">
        <f t="shared" si="7"/>
        <v/>
      </c>
      <c r="AB32" s="37"/>
    </row>
    <row r="33" spans="2:26" s="24" customFormat="1" ht="19" customHeight="1">
      <c r="B33" s="33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</row>
    <row r="34" spans="2:26" ht="21" customHeight="1">
      <c r="B34" s="38"/>
      <c r="C34" s="200">
        <f>DATE(YEAR(S23+42),MONTH(S23+42),1)</f>
        <v>46204</v>
      </c>
      <c r="D34" s="202"/>
      <c r="E34" s="202"/>
      <c r="F34" s="202"/>
      <c r="G34" s="202"/>
      <c r="H34" s="202"/>
      <c r="I34" s="202"/>
      <c r="J34" s="39"/>
      <c r="K34" s="200">
        <f>DATE(YEAR(C34+42),MONTH(C34+42),1)</f>
        <v>46235</v>
      </c>
      <c r="L34" s="202"/>
      <c r="M34" s="202"/>
      <c r="N34" s="202"/>
      <c r="O34" s="202"/>
      <c r="P34" s="202"/>
      <c r="Q34" s="202"/>
      <c r="R34" s="39"/>
      <c r="S34" s="200">
        <f>DATE(YEAR(K34+42),MONTH(K34+42),1)</f>
        <v>46266</v>
      </c>
      <c r="T34" s="202"/>
      <c r="U34" s="202"/>
      <c r="V34" s="202"/>
      <c r="W34" s="202"/>
      <c r="X34" s="202"/>
      <c r="Y34" s="202"/>
      <c r="Z34" s="24"/>
    </row>
    <row r="35" spans="2:26" ht="19" customHeight="1">
      <c r="B35" s="33"/>
      <c r="C35" s="21" t="str">
        <f>CHOOSE(1+MOD($P$5+1-2,7),"D","L","M","M","J","V","S")</f>
        <v>L</v>
      </c>
      <c r="D35" s="21" t="str">
        <f>CHOOSE(1+MOD($P$5+2-2,7),"D","L","M","M","J","V","S")</f>
        <v>M</v>
      </c>
      <c r="E35" s="21" t="str">
        <f>CHOOSE(1+MOD($P$5+3-2,7),"D","L","M","M","J","V","S")</f>
        <v>M</v>
      </c>
      <c r="F35" s="21" t="str">
        <f>CHOOSE(1+MOD($P$5+4-2,7),"D","L","M","M","J","V","S")</f>
        <v>J</v>
      </c>
      <c r="G35" s="21" t="str">
        <f>CHOOSE(1+MOD($P$5+5-2,7),"D","L","M","M","J","V","S")</f>
        <v>V</v>
      </c>
      <c r="H35" s="21" t="str">
        <f>CHOOSE(1+MOD($P$5+6-2,7),"D","L","M","M","J","V","S")</f>
        <v>S</v>
      </c>
      <c r="I35" s="21" t="str">
        <f>CHOOSE(1+MOD($P$5+7-2,7),"D","L","M","M","J","V","S")</f>
        <v>D</v>
      </c>
      <c r="J35" s="34"/>
      <c r="K35" s="21" t="str">
        <f>CHOOSE(1+MOD($P$5+1-2,7),"D","L","M","M","J","V","S")</f>
        <v>L</v>
      </c>
      <c r="L35" s="21" t="str">
        <f>CHOOSE(1+MOD($P$5+2-2,7),"D","L","M","M","J","V","S")</f>
        <v>M</v>
      </c>
      <c r="M35" s="21" t="str">
        <f>CHOOSE(1+MOD($P$5+3-2,7),"D","L","M","M","J","V","S")</f>
        <v>M</v>
      </c>
      <c r="N35" s="21" t="str">
        <f>CHOOSE(1+MOD($P$5+4-2,7),"D","L","M","M","J","V","S")</f>
        <v>J</v>
      </c>
      <c r="O35" s="21" t="str">
        <f>CHOOSE(1+MOD($P$5+5-2,7),"D","L","M","M","J","V","S")</f>
        <v>V</v>
      </c>
      <c r="P35" s="21" t="str">
        <f>CHOOSE(1+MOD($P$5+6-2,7),"D","L","M","M","J","V","S")</f>
        <v>S</v>
      </c>
      <c r="Q35" s="21" t="str">
        <f>CHOOSE(1+MOD($P$5+7-2,7),"D","L","M","M","J","V","S")</f>
        <v>D</v>
      </c>
      <c r="R35" s="34"/>
      <c r="S35" s="21" t="str">
        <f>CHOOSE(1+MOD($P$5+1-2,7),"D","L","M","M","J","V","S")</f>
        <v>L</v>
      </c>
      <c r="T35" s="21" t="str">
        <f>CHOOSE(1+MOD($P$5+2-2,7),"D","L","M","M","J","V","S")</f>
        <v>M</v>
      </c>
      <c r="U35" s="21" t="str">
        <f>CHOOSE(1+MOD($P$5+3-2,7),"D","L","M","M","J","V","S")</f>
        <v>M</v>
      </c>
      <c r="V35" s="21" t="str">
        <f>CHOOSE(1+MOD($P$5+4-2,7),"D","L","M","M","J","V","S")</f>
        <v>J</v>
      </c>
      <c r="W35" s="21" t="str">
        <f>CHOOSE(1+MOD($P$5+5-2,7),"D","L","M","M","J","V","S")</f>
        <v>V</v>
      </c>
      <c r="X35" s="21" t="str">
        <f>CHOOSE(1+MOD($P$5+6-2,7),"D","L","M","M","J","V","S")</f>
        <v>S</v>
      </c>
      <c r="Y35" s="21" t="str">
        <f>CHOOSE(1+MOD($P$5+7-2,7),"D","L","M","M","J","V","S")</f>
        <v>D</v>
      </c>
      <c r="Z35" s="24"/>
    </row>
    <row r="36" spans="2:26" ht="19" customHeight="1">
      <c r="B36" s="33"/>
      <c r="C36" s="23" t="str">
        <f>IF(WEEKDAY(C34,1)=MOD($P$5,7),C34,"")</f>
        <v/>
      </c>
      <c r="D36" s="23" t="str">
        <f>IF(C36="",IF(WEEKDAY(C34,1)=MOD($P$5,7)+1,C34,""),C36+1)</f>
        <v/>
      </c>
      <c r="E36" s="23">
        <f>IF(D36="",IF(WEEKDAY(C34,1)=MOD($P$5+1,7)+1,C34,""),D36+1)</f>
        <v>46204</v>
      </c>
      <c r="F36" s="23">
        <f>IF(E36="",IF(WEEKDAY(C34,1)=MOD($P$5+2,7)+1,C34,""),E36+1)</f>
        <v>46205</v>
      </c>
      <c r="G36" s="23">
        <f>IF(F36="",IF(WEEKDAY(C34,1)=MOD($P$5+3,7)+1,C34,""),F36+1)</f>
        <v>46206</v>
      </c>
      <c r="H36" s="42">
        <f>IF(G36="",IF(WEEKDAY(C34,1)=MOD($P$5+4,7)+1,C34,""),G36+1)</f>
        <v>46207</v>
      </c>
      <c r="I36" s="42">
        <f>IF(H36="",IF(WEEKDAY(C34,1)=MOD($P$5+5,7)+1,C34,""),H36+1)</f>
        <v>46208</v>
      </c>
      <c r="J36" s="34"/>
      <c r="K36" s="23" t="str">
        <f>IF(WEEKDAY(K34,1)=MOD($P$5,7),K34,"")</f>
        <v/>
      </c>
      <c r="L36" s="23" t="str">
        <f>IF(K36="",IF(WEEKDAY(K34,1)=MOD($P$5,7)+1,K34,""),K36+1)</f>
        <v/>
      </c>
      <c r="M36" s="23" t="str">
        <f>IF(L36="",IF(WEEKDAY(K34,1)=MOD($P$5+1,7)+1,K34,""),L36+1)</f>
        <v/>
      </c>
      <c r="N36" s="23" t="str">
        <f>IF(M36="",IF(WEEKDAY(K34,1)=MOD($P$5+2,7)+1,K34,""),M36+1)</f>
        <v/>
      </c>
      <c r="O36" s="23" t="str">
        <f>IF(N36="",IF(WEEKDAY(K34,1)=MOD($P$5+3,7)+1,K34,""),N36+1)</f>
        <v/>
      </c>
      <c r="P36" s="42">
        <f>IF(O36="",IF(WEEKDAY(K34,1)=MOD($P$5+4,7)+1,K34,""),O36+1)</f>
        <v>46235</v>
      </c>
      <c r="Q36" s="42">
        <f>IF(P36="",IF(WEEKDAY(K34,1)=MOD($P$5+5,7)+1,K34,""),P36+1)</f>
        <v>46236</v>
      </c>
      <c r="R36" s="34"/>
      <c r="S36" s="23" t="str">
        <f>IF(WEEKDAY(S34,1)=MOD($P$5,7),S34,"")</f>
        <v/>
      </c>
      <c r="T36" s="23">
        <f>IF(S36="",IF(WEEKDAY(S34,1)=MOD($P$5,7)+1,S34,""),S36+1)</f>
        <v>46266</v>
      </c>
      <c r="U36" s="23">
        <f>IF(T36="",IF(WEEKDAY(S34,1)=MOD($P$5+1,7)+1,S34,""),T36+1)</f>
        <v>46267</v>
      </c>
      <c r="V36" s="23">
        <f>IF(U36="",IF(WEEKDAY(S34,1)=MOD($P$5+2,7)+1,S34,""),U36+1)</f>
        <v>46268</v>
      </c>
      <c r="W36" s="23">
        <f>IF(V36="",IF(WEEKDAY(S34,1)=MOD($P$5+3,7)+1,S34,""),V36+1)</f>
        <v>46269</v>
      </c>
      <c r="X36" s="42">
        <f>IF(W36="",IF(WEEKDAY(S34,1)=MOD($P$5+4,7)+1,S34,""),W36+1)</f>
        <v>46270</v>
      </c>
      <c r="Y36" s="42">
        <f>IF(X36="",IF(WEEKDAY(S34,1)=MOD($P$5+5,7)+1,S34,""),X36+1)</f>
        <v>46271</v>
      </c>
      <c r="Z36" s="24"/>
    </row>
    <row r="37" spans="2:26" ht="19" customHeight="1">
      <c r="B37" s="33"/>
      <c r="C37" s="23">
        <f>IF(I36="","",IF(MONTH(I36+1)&lt;&gt;MONTH(I36),"",I36+1))</f>
        <v>46209</v>
      </c>
      <c r="D37" s="23">
        <f t="shared" ref="D37:I41" si="8">IF(C37="","",IF(MONTH(C37+1)&lt;&gt;MONTH(C37),"",C37+1))</f>
        <v>46210</v>
      </c>
      <c r="E37" s="23">
        <f t="shared" si="8"/>
        <v>46211</v>
      </c>
      <c r="F37" s="23">
        <f t="shared" si="8"/>
        <v>46212</v>
      </c>
      <c r="G37" s="23">
        <f t="shared" si="8"/>
        <v>46213</v>
      </c>
      <c r="H37" s="42">
        <f t="shared" si="8"/>
        <v>46214</v>
      </c>
      <c r="I37" s="42">
        <f t="shared" si="8"/>
        <v>46215</v>
      </c>
      <c r="J37" s="34"/>
      <c r="K37" s="23">
        <f>IF(Q36="","",IF(MONTH(Q36+1)&lt;&gt;MONTH(Q36),"",Q36+1))</f>
        <v>46237</v>
      </c>
      <c r="L37" s="23">
        <f t="shared" ref="L37:Q41" si="9">IF(K37="","",IF(MONTH(K37+1)&lt;&gt;MONTH(K37),"",K37+1))</f>
        <v>46238</v>
      </c>
      <c r="M37" s="23">
        <f t="shared" si="9"/>
        <v>46239</v>
      </c>
      <c r="N37" s="23">
        <f t="shared" si="9"/>
        <v>46240</v>
      </c>
      <c r="O37" s="23">
        <f t="shared" si="9"/>
        <v>46241</v>
      </c>
      <c r="P37" s="42">
        <f t="shared" si="9"/>
        <v>46242</v>
      </c>
      <c r="Q37" s="42">
        <f t="shared" si="9"/>
        <v>46243</v>
      </c>
      <c r="R37" s="34"/>
      <c r="S37" s="23">
        <f>IF(Y36="","",IF(MONTH(Y36+1)&lt;&gt;MONTH(Y36),"",Y36+1))</f>
        <v>46272</v>
      </c>
      <c r="T37" s="23">
        <f t="shared" ref="T37:Y41" si="10">IF(S37="","",IF(MONTH(S37+1)&lt;&gt;MONTH(S37),"",S37+1))</f>
        <v>46273</v>
      </c>
      <c r="U37" s="23">
        <f t="shared" si="10"/>
        <v>46274</v>
      </c>
      <c r="V37" s="23">
        <f t="shared" si="10"/>
        <v>46275</v>
      </c>
      <c r="W37" s="23">
        <f t="shared" si="10"/>
        <v>46276</v>
      </c>
      <c r="X37" s="42">
        <f t="shared" si="10"/>
        <v>46277</v>
      </c>
      <c r="Y37" s="42">
        <f t="shared" si="10"/>
        <v>46278</v>
      </c>
      <c r="Z37" s="24"/>
    </row>
    <row r="38" spans="2:26" ht="19" customHeight="1">
      <c r="B38" s="33"/>
      <c r="C38" s="23">
        <f>IF(I37="","",IF(MONTH(I37+1)&lt;&gt;MONTH(I37),"",I37+1))</f>
        <v>46216</v>
      </c>
      <c r="D38" s="23">
        <f t="shared" si="8"/>
        <v>46217</v>
      </c>
      <c r="E38" s="23">
        <f t="shared" si="8"/>
        <v>46218</v>
      </c>
      <c r="F38" s="23">
        <f t="shared" si="8"/>
        <v>46219</v>
      </c>
      <c r="G38" s="23">
        <f t="shared" si="8"/>
        <v>46220</v>
      </c>
      <c r="H38" s="42">
        <f t="shared" si="8"/>
        <v>46221</v>
      </c>
      <c r="I38" s="42">
        <f t="shared" si="8"/>
        <v>46222</v>
      </c>
      <c r="J38" s="34"/>
      <c r="K38" s="23">
        <f>IF(Q37="","",IF(MONTH(Q37+1)&lt;&gt;MONTH(Q37),"",Q37+1))</f>
        <v>46244</v>
      </c>
      <c r="L38" s="23">
        <f t="shared" si="9"/>
        <v>46245</v>
      </c>
      <c r="M38" s="23">
        <f t="shared" si="9"/>
        <v>46246</v>
      </c>
      <c r="N38" s="23">
        <f t="shared" si="9"/>
        <v>46247</v>
      </c>
      <c r="O38" s="23">
        <f t="shared" si="9"/>
        <v>46248</v>
      </c>
      <c r="P38" s="42">
        <f t="shared" si="9"/>
        <v>46249</v>
      </c>
      <c r="Q38" s="42">
        <f t="shared" si="9"/>
        <v>46250</v>
      </c>
      <c r="R38" s="34"/>
      <c r="S38" s="23">
        <f>IF(Y37="","",IF(MONTH(Y37+1)&lt;&gt;MONTH(Y37),"",Y37+1))</f>
        <v>46279</v>
      </c>
      <c r="T38" s="23">
        <f t="shared" si="10"/>
        <v>46280</v>
      </c>
      <c r="U38" s="23">
        <f t="shared" si="10"/>
        <v>46281</v>
      </c>
      <c r="V38" s="23">
        <f t="shared" si="10"/>
        <v>46282</v>
      </c>
      <c r="W38" s="23">
        <f t="shared" si="10"/>
        <v>46283</v>
      </c>
      <c r="X38" s="42">
        <f t="shared" si="10"/>
        <v>46284</v>
      </c>
      <c r="Y38" s="42">
        <f t="shared" si="10"/>
        <v>46285</v>
      </c>
      <c r="Z38" s="24"/>
    </row>
    <row r="39" spans="2:26" ht="19" customHeight="1">
      <c r="B39" s="33"/>
      <c r="C39" s="23">
        <f>IF(I38="","",IF(MONTH(I38+1)&lt;&gt;MONTH(I38),"",I38+1))</f>
        <v>46223</v>
      </c>
      <c r="D39" s="23">
        <f t="shared" si="8"/>
        <v>46224</v>
      </c>
      <c r="E39" s="23">
        <f t="shared" si="8"/>
        <v>46225</v>
      </c>
      <c r="F39" s="23">
        <f t="shared" si="8"/>
        <v>46226</v>
      </c>
      <c r="G39" s="23">
        <f t="shared" si="8"/>
        <v>46227</v>
      </c>
      <c r="H39" s="42">
        <f t="shared" si="8"/>
        <v>46228</v>
      </c>
      <c r="I39" s="42">
        <f t="shared" si="8"/>
        <v>46229</v>
      </c>
      <c r="J39" s="34"/>
      <c r="K39" s="23">
        <f>IF(Q38="","",IF(MONTH(Q38+1)&lt;&gt;MONTH(Q38),"",Q38+1))</f>
        <v>46251</v>
      </c>
      <c r="L39" s="23">
        <f t="shared" si="9"/>
        <v>46252</v>
      </c>
      <c r="M39" s="23">
        <f t="shared" si="9"/>
        <v>46253</v>
      </c>
      <c r="N39" s="23">
        <f t="shared" si="9"/>
        <v>46254</v>
      </c>
      <c r="O39" s="23">
        <f t="shared" si="9"/>
        <v>46255</v>
      </c>
      <c r="P39" s="42">
        <f t="shared" si="9"/>
        <v>46256</v>
      </c>
      <c r="Q39" s="42">
        <f t="shared" si="9"/>
        <v>46257</v>
      </c>
      <c r="R39" s="34"/>
      <c r="S39" s="23">
        <f>IF(Y38="","",IF(MONTH(Y38+1)&lt;&gt;MONTH(Y38),"",Y38+1))</f>
        <v>46286</v>
      </c>
      <c r="T39" s="23">
        <f t="shared" si="10"/>
        <v>46287</v>
      </c>
      <c r="U39" s="23">
        <f t="shared" si="10"/>
        <v>46288</v>
      </c>
      <c r="V39" s="23">
        <f t="shared" si="10"/>
        <v>46289</v>
      </c>
      <c r="W39" s="23">
        <f t="shared" si="10"/>
        <v>46290</v>
      </c>
      <c r="X39" s="42">
        <f t="shared" si="10"/>
        <v>46291</v>
      </c>
      <c r="Y39" s="42">
        <f t="shared" si="10"/>
        <v>46292</v>
      </c>
      <c r="Z39" s="24"/>
    </row>
    <row r="40" spans="2:26" ht="19" customHeight="1">
      <c r="B40" s="33"/>
      <c r="C40" s="23">
        <f>IF(I39="","",IF(MONTH(I39+1)&lt;&gt;MONTH(I39),"",I39+1))</f>
        <v>46230</v>
      </c>
      <c r="D40" s="23">
        <f t="shared" si="8"/>
        <v>46231</v>
      </c>
      <c r="E40" s="23">
        <f t="shared" si="8"/>
        <v>46232</v>
      </c>
      <c r="F40" s="23">
        <f t="shared" si="8"/>
        <v>46233</v>
      </c>
      <c r="G40" s="23">
        <f t="shared" si="8"/>
        <v>46234</v>
      </c>
      <c r="H40" s="23" t="str">
        <f t="shared" si="8"/>
        <v/>
      </c>
      <c r="I40" s="23" t="str">
        <f t="shared" si="8"/>
        <v/>
      </c>
      <c r="J40" s="34"/>
      <c r="K40" s="23">
        <f>IF(Q39="","",IF(MONTH(Q39+1)&lt;&gt;MONTH(Q39),"",Q39+1))</f>
        <v>46258</v>
      </c>
      <c r="L40" s="23">
        <f t="shared" si="9"/>
        <v>46259</v>
      </c>
      <c r="M40" s="23">
        <f t="shared" si="9"/>
        <v>46260</v>
      </c>
      <c r="N40" s="23">
        <f t="shared" si="9"/>
        <v>46261</v>
      </c>
      <c r="O40" s="23">
        <f t="shared" si="9"/>
        <v>46262</v>
      </c>
      <c r="P40" s="42">
        <f t="shared" si="9"/>
        <v>46263</v>
      </c>
      <c r="Q40" s="42">
        <f t="shared" si="9"/>
        <v>46264</v>
      </c>
      <c r="R40" s="34"/>
      <c r="S40" s="23">
        <f>IF(Y39="","",IF(MONTH(Y39+1)&lt;&gt;MONTH(Y39),"",Y39+1))</f>
        <v>46293</v>
      </c>
      <c r="T40" s="23">
        <f t="shared" si="10"/>
        <v>46294</v>
      </c>
      <c r="U40" s="23">
        <f t="shared" si="10"/>
        <v>46295</v>
      </c>
      <c r="V40" s="23" t="str">
        <f t="shared" si="10"/>
        <v/>
      </c>
      <c r="W40" s="23" t="str">
        <f t="shared" si="10"/>
        <v/>
      </c>
      <c r="X40" s="23" t="str">
        <f t="shared" si="10"/>
        <v/>
      </c>
      <c r="Y40" s="23" t="str">
        <f t="shared" si="10"/>
        <v/>
      </c>
      <c r="Z40" s="24"/>
    </row>
    <row r="41" spans="2:26" ht="19" customHeight="1">
      <c r="B41" s="33"/>
      <c r="C41" s="23" t="str">
        <f>IF(I40="","",IF(MONTH(I40+1)&lt;&gt;MONTH(I40),"",I40+1))</f>
        <v/>
      </c>
      <c r="D41" s="23" t="str">
        <f t="shared" si="8"/>
        <v/>
      </c>
      <c r="E41" s="23" t="str">
        <f t="shared" si="8"/>
        <v/>
      </c>
      <c r="F41" s="23" t="str">
        <f t="shared" si="8"/>
        <v/>
      </c>
      <c r="G41" s="23" t="str">
        <f t="shared" si="8"/>
        <v/>
      </c>
      <c r="H41" s="23" t="str">
        <f t="shared" si="8"/>
        <v/>
      </c>
      <c r="I41" s="23" t="str">
        <f t="shared" si="8"/>
        <v/>
      </c>
      <c r="J41" s="34"/>
      <c r="K41" s="23">
        <f>IF(Q40="","",IF(MONTH(Q40+1)&lt;&gt;MONTH(Q40),"",Q40+1))</f>
        <v>46265</v>
      </c>
      <c r="L41" s="23" t="str">
        <f t="shared" si="9"/>
        <v/>
      </c>
      <c r="M41" s="23" t="str">
        <f t="shared" si="9"/>
        <v/>
      </c>
      <c r="N41" s="23" t="str">
        <f t="shared" si="9"/>
        <v/>
      </c>
      <c r="O41" s="23" t="str">
        <f t="shared" si="9"/>
        <v/>
      </c>
      <c r="P41" s="23" t="str">
        <f t="shared" si="9"/>
        <v/>
      </c>
      <c r="Q41" s="23" t="str">
        <f t="shared" si="9"/>
        <v/>
      </c>
      <c r="R41" s="34"/>
      <c r="S41" s="23" t="str">
        <f>IF(Y40="","",IF(MONTH(Y40+1)&lt;&gt;MONTH(Y40),"",Y40+1))</f>
        <v/>
      </c>
      <c r="T41" s="23" t="str">
        <f t="shared" si="10"/>
        <v/>
      </c>
      <c r="U41" s="23" t="str">
        <f t="shared" si="10"/>
        <v/>
      </c>
      <c r="V41" s="23" t="str">
        <f t="shared" si="10"/>
        <v/>
      </c>
      <c r="W41" s="23" t="str">
        <f t="shared" si="10"/>
        <v/>
      </c>
      <c r="X41" s="23" t="str">
        <f t="shared" si="10"/>
        <v/>
      </c>
      <c r="Y41" s="23" t="str">
        <f t="shared" si="10"/>
        <v/>
      </c>
      <c r="Z41" s="24"/>
    </row>
    <row r="42" spans="2:26" s="24" customFormat="1" ht="20" customHeight="1" thickBot="1">
      <c r="B42" s="33"/>
      <c r="C42" s="41"/>
      <c r="D42" s="41"/>
      <c r="E42" s="41"/>
      <c r="F42" s="41"/>
      <c r="G42" s="41"/>
      <c r="H42" s="41"/>
      <c r="I42" s="41"/>
      <c r="J42" s="34"/>
      <c r="K42" s="41"/>
      <c r="L42" s="41"/>
      <c r="M42" s="41"/>
      <c r="N42" s="41"/>
      <c r="O42" s="41"/>
      <c r="P42" s="41"/>
      <c r="Q42" s="41"/>
      <c r="R42" s="34"/>
      <c r="S42" s="41"/>
      <c r="T42" s="41"/>
      <c r="U42" s="41"/>
      <c r="V42" s="41"/>
      <c r="W42" s="41"/>
      <c r="X42" s="41"/>
      <c r="Y42" s="41"/>
    </row>
    <row r="43" spans="2:26" s="24" customFormat="1" ht="20" customHeight="1" thickBot="1">
      <c r="B43" s="33"/>
      <c r="C43" s="203" t="s">
        <v>89</v>
      </c>
      <c r="D43" s="165"/>
      <c r="E43" s="165"/>
      <c r="F43" s="165"/>
      <c r="G43" s="185"/>
      <c r="H43" s="43">
        <f t="array" aca="1" ref="H43" ca="1">COUNT(C36:I41)-CONTARCOLOR(H44,C36:I41)</f>
        <v>23</v>
      </c>
      <c r="I43" s="41"/>
      <c r="J43" s="34"/>
      <c r="K43" s="203" t="s">
        <v>89</v>
      </c>
      <c r="L43" s="165"/>
      <c r="M43" s="165"/>
      <c r="N43" s="165"/>
      <c r="O43" s="185"/>
      <c r="P43" s="43">
        <f t="array" aca="1" ref="P43" ca="1">COUNT(K36:Q41)-CONTARCOLOR(P44,K36:Q41)</f>
        <v>21</v>
      </c>
      <c r="Q43" s="41"/>
      <c r="R43" s="34"/>
      <c r="S43" s="203" t="s">
        <v>89</v>
      </c>
      <c r="T43" s="165"/>
      <c r="U43" s="165"/>
      <c r="V43" s="165"/>
      <c r="W43" s="185"/>
      <c r="X43" s="43">
        <f t="array" aca="1" ref="X43" ca="1">COUNT(S36:Y41)-CONTARCOLOR(X44,S36:Y41)</f>
        <v>22</v>
      </c>
      <c r="Y43" s="41"/>
    </row>
    <row r="44" spans="2:26" s="24" customFormat="1" ht="19" customHeight="1">
      <c r="B44" s="33"/>
      <c r="C44" s="41"/>
      <c r="D44" s="41"/>
      <c r="E44" s="41"/>
      <c r="F44" s="41"/>
      <c r="G44" s="41"/>
      <c r="H44" s="42"/>
      <c r="I44" s="41"/>
      <c r="J44" s="34"/>
      <c r="K44" s="41"/>
      <c r="L44" s="41"/>
      <c r="M44" s="41"/>
      <c r="N44" s="41"/>
      <c r="O44" s="41"/>
      <c r="P44" s="42"/>
      <c r="Q44" s="41"/>
      <c r="R44" s="34"/>
      <c r="S44" s="41"/>
      <c r="T44" s="41"/>
      <c r="U44" s="41"/>
      <c r="V44" s="41"/>
      <c r="W44" s="41"/>
      <c r="X44" s="42"/>
      <c r="Y44" s="41"/>
    </row>
    <row r="45" spans="2:26" s="24" customFormat="1" ht="19" customHeight="1">
      <c r="B45" s="33"/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</row>
    <row r="46" spans="2:26" ht="21" customHeight="1">
      <c r="B46" s="38"/>
      <c r="C46" s="200">
        <f>DATE(YEAR(S34+42),MONTH(S34+42),1)</f>
        <v>46296</v>
      </c>
      <c r="D46" s="202"/>
      <c r="E46" s="202"/>
      <c r="F46" s="202"/>
      <c r="G46" s="202"/>
      <c r="H46" s="202"/>
      <c r="I46" s="202"/>
      <c r="J46" s="39"/>
      <c r="K46" s="200">
        <f>DATE(YEAR(C46+42),MONTH(C46+42),1)</f>
        <v>46327</v>
      </c>
      <c r="L46" s="202"/>
      <c r="M46" s="202"/>
      <c r="N46" s="202"/>
      <c r="O46" s="202"/>
      <c r="P46" s="202"/>
      <c r="Q46" s="202"/>
      <c r="R46" s="39"/>
      <c r="S46" s="200">
        <f>DATE(YEAR(K46+42),MONTH(K46+42),1)</f>
        <v>46357</v>
      </c>
      <c r="T46" s="202"/>
      <c r="U46" s="202"/>
      <c r="V46" s="202"/>
      <c r="W46" s="202"/>
      <c r="X46" s="202"/>
      <c r="Y46" s="202"/>
      <c r="Z46" s="24"/>
    </row>
    <row r="47" spans="2:26" ht="19" customHeight="1">
      <c r="B47" s="33"/>
      <c r="C47" s="21" t="str">
        <f>CHOOSE(1+MOD($P$5+1-2,7),"D","L","M","M","J","V","S")</f>
        <v>L</v>
      </c>
      <c r="D47" s="21" t="str">
        <f>CHOOSE(1+MOD($P$5+2-2,7),"D","L","M","M","J","V","S")</f>
        <v>M</v>
      </c>
      <c r="E47" s="21" t="str">
        <f>CHOOSE(1+MOD($P$5+3-2,7),"D","L","M","M","J","V","S")</f>
        <v>M</v>
      </c>
      <c r="F47" s="21" t="str">
        <f>CHOOSE(1+MOD($P$5+4-2,7),"D","L","M","M","J","V","S")</f>
        <v>J</v>
      </c>
      <c r="G47" s="21" t="str">
        <f>CHOOSE(1+MOD($P$5+5-2,7),"D","L","M","M","J","V","S")</f>
        <v>V</v>
      </c>
      <c r="H47" s="21" t="str">
        <f>CHOOSE(1+MOD($P$5+6-2,7),"D","L","M","M","J","V","S")</f>
        <v>S</v>
      </c>
      <c r="I47" s="21" t="str">
        <f>CHOOSE(1+MOD($P$5+7-2,7),"D","L","M","M","J","V","S")</f>
        <v>D</v>
      </c>
      <c r="J47" s="34"/>
      <c r="K47" s="21" t="str">
        <f>CHOOSE(1+MOD($P$5+1-2,7),"D","L","M","M","J","V","S")</f>
        <v>L</v>
      </c>
      <c r="L47" s="21" t="str">
        <f>CHOOSE(1+MOD($P$5+2-2,7),"D","L","M","M","J","V","S")</f>
        <v>M</v>
      </c>
      <c r="M47" s="21" t="str">
        <f>CHOOSE(1+MOD($P$5+3-2,7),"D","L","M","M","J","V","S")</f>
        <v>M</v>
      </c>
      <c r="N47" s="21" t="str">
        <f>CHOOSE(1+MOD($P$5+4-2,7),"D","L","M","M","J","V","S")</f>
        <v>J</v>
      </c>
      <c r="O47" s="21" t="str">
        <f>CHOOSE(1+MOD($P$5+5-2,7),"D","L","M","M","J","V","S")</f>
        <v>V</v>
      </c>
      <c r="P47" s="21" t="str">
        <f>CHOOSE(1+MOD($P$5+6-2,7),"D","L","M","M","J","V","S")</f>
        <v>S</v>
      </c>
      <c r="Q47" s="21" t="str">
        <f>CHOOSE(1+MOD($P$5+7-2,7),"D","L","M","M","J","V","S")</f>
        <v>D</v>
      </c>
      <c r="R47" s="34"/>
      <c r="S47" s="21" t="str">
        <f>CHOOSE(1+MOD($P$5+1-2,7),"D","L","M","M","J","V","S")</f>
        <v>L</v>
      </c>
      <c r="T47" s="21" t="str">
        <f>CHOOSE(1+MOD($P$5+2-2,7),"D","L","M","M","J","V","S")</f>
        <v>M</v>
      </c>
      <c r="U47" s="21" t="str">
        <f>CHOOSE(1+MOD($P$5+3-2,7),"D","L","M","M","J","V","S")</f>
        <v>M</v>
      </c>
      <c r="V47" s="21" t="str">
        <f>CHOOSE(1+MOD($P$5+4-2,7),"D","L","M","M","J","V","S")</f>
        <v>J</v>
      </c>
      <c r="W47" s="21" t="str">
        <f>CHOOSE(1+MOD($P$5+5-2,7),"D","L","M","M","J","V","S")</f>
        <v>V</v>
      </c>
      <c r="X47" s="21" t="str">
        <f>CHOOSE(1+MOD($P$5+6-2,7),"D","L","M","M","J","V","S")</f>
        <v>S</v>
      </c>
      <c r="Y47" s="21" t="str">
        <f>CHOOSE(1+MOD($P$5+7-2,7),"D","L","M","M","J","V","S")</f>
        <v>D</v>
      </c>
      <c r="Z47" s="24"/>
    </row>
    <row r="48" spans="2:26" ht="19" customHeight="1">
      <c r="B48" s="33"/>
      <c r="C48" s="23" t="str">
        <f>IF(WEEKDAY(C46,1)=MOD($P$5,7),C46,"")</f>
        <v/>
      </c>
      <c r="D48" s="23" t="str">
        <f>IF(C48="",IF(WEEKDAY(C46,1)=MOD($P$5,7)+1,C46,""),C48+1)</f>
        <v/>
      </c>
      <c r="E48" s="23" t="str">
        <f>IF(D48="",IF(WEEKDAY(C46,1)=MOD($P$5+1,7)+1,C46,""),D48+1)</f>
        <v/>
      </c>
      <c r="F48" s="23">
        <f>IF(E48="",IF(WEEKDAY(C46,1)=MOD($P$5+2,7)+1,C46,""),E48+1)</f>
        <v>46296</v>
      </c>
      <c r="G48" s="23">
        <f>IF(F48="",IF(WEEKDAY(C46,1)=MOD($P$5+3,7)+1,C46,""),F48+1)</f>
        <v>46297</v>
      </c>
      <c r="H48" s="42">
        <f>IF(G48="",IF(WEEKDAY(C46,1)=MOD($P$5+4,7)+1,C46,""),G48+1)</f>
        <v>46298</v>
      </c>
      <c r="I48" s="42">
        <f>IF(H48="",IF(WEEKDAY(C46,1)=MOD($P$5+5,7)+1,C46,""),H48+1)</f>
        <v>46299</v>
      </c>
      <c r="J48" s="34"/>
      <c r="K48" s="23" t="str">
        <f>IF(WEEKDAY(K46,1)=MOD($P$5,7),K46,"")</f>
        <v/>
      </c>
      <c r="L48" s="23" t="str">
        <f>IF(K48="",IF(WEEKDAY(K46,1)=MOD($P$5,7)+1,K46,""),K48+1)</f>
        <v/>
      </c>
      <c r="M48" s="23" t="str">
        <f>IF(L48="",IF(WEEKDAY(K46,1)=MOD($P$5+1,7)+1,K46,""),L48+1)</f>
        <v/>
      </c>
      <c r="N48" s="23" t="str">
        <f>IF(M48="",IF(WEEKDAY(K46,1)=MOD($P$5+2,7)+1,K46,""),M48+1)</f>
        <v/>
      </c>
      <c r="O48" s="23" t="str">
        <f>IF(N48="",IF(WEEKDAY(K46,1)=MOD($P$5+3,7)+1,K46,""),N48+1)</f>
        <v/>
      </c>
      <c r="P48" s="23" t="str">
        <f>IF(O48="",IF(WEEKDAY(K46,1)=MOD($P$5+4,7)+1,K46,""),O48+1)</f>
        <v/>
      </c>
      <c r="Q48" s="42">
        <f>IF(P48="",IF(WEEKDAY(K46,1)=MOD($P$5+5,7)+1,K46,""),P48+1)</f>
        <v>46327</v>
      </c>
      <c r="R48" s="34"/>
      <c r="S48" s="23" t="str">
        <f>IF(WEEKDAY(S46,1)=MOD($P$5,7),S46,"")</f>
        <v/>
      </c>
      <c r="T48" s="23">
        <f>IF(S48="",IF(WEEKDAY(S46,1)=MOD($P$5,7)+1,S46,""),S48+1)</f>
        <v>46357</v>
      </c>
      <c r="U48" s="23">
        <f>IF(T48="",IF(WEEKDAY(S46,1)=MOD($P$5+1,7)+1,S46,""),T48+1)</f>
        <v>46358</v>
      </c>
      <c r="V48" s="23">
        <f>IF(U48="",IF(WEEKDAY(S46,1)=MOD($P$5+2,7)+1,S46,""),U48+1)</f>
        <v>46359</v>
      </c>
      <c r="W48" s="23">
        <f>IF(V48="",IF(WEEKDAY(S46,1)=MOD($P$5+3,7)+1,S46,""),V48+1)</f>
        <v>46360</v>
      </c>
      <c r="X48" s="42">
        <f>IF(W48="",IF(WEEKDAY(S46,1)=MOD($P$5+4,7)+1,S46,""),W48+1)</f>
        <v>46361</v>
      </c>
      <c r="Y48" s="42">
        <f>IF(X48="",IF(WEEKDAY(S46,1)=MOD($P$5+5,7)+1,S46,""),X48+1)</f>
        <v>46362</v>
      </c>
      <c r="Z48" s="24"/>
    </row>
    <row r="49" spans="2:26" ht="19" customHeight="1">
      <c r="B49" s="33"/>
      <c r="C49" s="23">
        <f>IF(I48="","",IF(MONTH(I48+1)&lt;&gt;MONTH(I48),"",I48+1))</f>
        <v>46300</v>
      </c>
      <c r="D49" s="23">
        <f t="shared" ref="D49:I53" si="11">IF(C49="","",IF(MONTH(C49+1)&lt;&gt;MONTH(C49),"",C49+1))</f>
        <v>46301</v>
      </c>
      <c r="E49" s="23">
        <f t="shared" si="11"/>
        <v>46302</v>
      </c>
      <c r="F49" s="23">
        <f t="shared" si="11"/>
        <v>46303</v>
      </c>
      <c r="G49" s="42">
        <f t="shared" si="11"/>
        <v>46304</v>
      </c>
      <c r="H49" s="42">
        <f t="shared" si="11"/>
        <v>46305</v>
      </c>
      <c r="I49" s="42">
        <f t="shared" si="11"/>
        <v>46306</v>
      </c>
      <c r="J49" s="34"/>
      <c r="K49" s="23">
        <f>IF(Q48="","",IF(MONTH(Q48+1)&lt;&gt;MONTH(Q48),"",Q48+1))</f>
        <v>46328</v>
      </c>
      <c r="L49" s="23">
        <f t="shared" ref="L49:Q53" si="12">IF(K49="","",IF(MONTH(K49+1)&lt;&gt;MONTH(K49),"",K49+1))</f>
        <v>46329</v>
      </c>
      <c r="M49" s="23">
        <f t="shared" si="12"/>
        <v>46330</v>
      </c>
      <c r="N49" s="23">
        <f t="shared" si="12"/>
        <v>46331</v>
      </c>
      <c r="O49" s="23">
        <f t="shared" si="12"/>
        <v>46332</v>
      </c>
      <c r="P49" s="42">
        <f t="shared" si="12"/>
        <v>46333</v>
      </c>
      <c r="Q49" s="42">
        <f t="shared" si="12"/>
        <v>46334</v>
      </c>
      <c r="R49" s="34"/>
      <c r="S49" s="23">
        <f>IF(Y48="","",IF(MONTH(Y48+1)&lt;&gt;MONTH(Y48),"",Y48+1))</f>
        <v>46363</v>
      </c>
      <c r="T49" s="42">
        <f t="shared" ref="T49:Y53" si="13">IF(S49="","",IF(MONTH(S49+1)&lt;&gt;MONTH(S49),"",S49+1))</f>
        <v>46364</v>
      </c>
      <c r="U49" s="23">
        <f t="shared" si="13"/>
        <v>46365</v>
      </c>
      <c r="V49" s="23">
        <f t="shared" si="13"/>
        <v>46366</v>
      </c>
      <c r="W49" s="23">
        <f t="shared" si="13"/>
        <v>46367</v>
      </c>
      <c r="X49" s="42">
        <f t="shared" si="13"/>
        <v>46368</v>
      </c>
      <c r="Y49" s="42">
        <f t="shared" si="13"/>
        <v>46369</v>
      </c>
      <c r="Z49" s="24"/>
    </row>
    <row r="50" spans="2:26" ht="19" customHeight="1">
      <c r="B50" s="33"/>
      <c r="C50" s="42">
        <f>IF(I49="","",IF(MONTH(I49+1)&lt;&gt;MONTH(I49),"",I49+1))</f>
        <v>46307</v>
      </c>
      <c r="D50" s="23">
        <f t="shared" si="11"/>
        <v>46308</v>
      </c>
      <c r="E50" s="23">
        <f t="shared" si="11"/>
        <v>46309</v>
      </c>
      <c r="F50" s="23">
        <f t="shared" si="11"/>
        <v>46310</v>
      </c>
      <c r="G50" s="23">
        <f t="shared" si="11"/>
        <v>46311</v>
      </c>
      <c r="H50" s="42">
        <f t="shared" si="11"/>
        <v>46312</v>
      </c>
      <c r="I50" s="42">
        <f t="shared" si="11"/>
        <v>46313</v>
      </c>
      <c r="J50" s="34"/>
      <c r="K50" s="23">
        <f>IF(Q49="","",IF(MONTH(Q49+1)&lt;&gt;MONTH(Q49),"",Q49+1))</f>
        <v>46335</v>
      </c>
      <c r="L50" s="23">
        <f t="shared" si="12"/>
        <v>46336</v>
      </c>
      <c r="M50" s="23">
        <f t="shared" si="12"/>
        <v>46337</v>
      </c>
      <c r="N50" s="23">
        <f t="shared" si="12"/>
        <v>46338</v>
      </c>
      <c r="O50" s="23">
        <f t="shared" si="12"/>
        <v>46339</v>
      </c>
      <c r="P50" s="42">
        <f t="shared" si="12"/>
        <v>46340</v>
      </c>
      <c r="Q50" s="42">
        <f t="shared" si="12"/>
        <v>46341</v>
      </c>
      <c r="R50" s="34"/>
      <c r="S50" s="23">
        <f>IF(Y49="","",IF(MONTH(Y49+1)&lt;&gt;MONTH(Y49),"",Y49+1))</f>
        <v>46370</v>
      </c>
      <c r="T50" s="23">
        <f t="shared" si="13"/>
        <v>46371</v>
      </c>
      <c r="U50" s="23">
        <f t="shared" si="13"/>
        <v>46372</v>
      </c>
      <c r="V50" s="23">
        <f t="shared" si="13"/>
        <v>46373</v>
      </c>
      <c r="W50" s="23">
        <f t="shared" si="13"/>
        <v>46374</v>
      </c>
      <c r="X50" s="42">
        <f t="shared" si="13"/>
        <v>46375</v>
      </c>
      <c r="Y50" s="42">
        <f t="shared" si="13"/>
        <v>46376</v>
      </c>
      <c r="Z50" s="24"/>
    </row>
    <row r="51" spans="2:26" ht="19" customHeight="1">
      <c r="B51" s="33"/>
      <c r="C51" s="23">
        <f>IF(I50="","",IF(MONTH(I50+1)&lt;&gt;MONTH(I50),"",I50+1))</f>
        <v>46314</v>
      </c>
      <c r="D51" s="23">
        <f t="shared" si="11"/>
        <v>46315</v>
      </c>
      <c r="E51" s="23">
        <f t="shared" si="11"/>
        <v>46316</v>
      </c>
      <c r="F51" s="23">
        <f t="shared" si="11"/>
        <v>46317</v>
      </c>
      <c r="G51" s="23">
        <f t="shared" si="11"/>
        <v>46318</v>
      </c>
      <c r="H51" s="42">
        <f t="shared" si="11"/>
        <v>46319</v>
      </c>
      <c r="I51" s="42">
        <f t="shared" si="11"/>
        <v>46320</v>
      </c>
      <c r="J51" s="34"/>
      <c r="K51" s="23">
        <f>IF(Q50="","",IF(MONTH(Q50+1)&lt;&gt;MONTH(Q50),"",Q50+1))</f>
        <v>46342</v>
      </c>
      <c r="L51" s="23">
        <f t="shared" si="12"/>
        <v>46343</v>
      </c>
      <c r="M51" s="23">
        <f t="shared" si="12"/>
        <v>46344</v>
      </c>
      <c r="N51" s="23">
        <f t="shared" si="12"/>
        <v>46345</v>
      </c>
      <c r="O51" s="23">
        <f t="shared" si="12"/>
        <v>46346</v>
      </c>
      <c r="P51" s="42">
        <f t="shared" si="12"/>
        <v>46347</v>
      </c>
      <c r="Q51" s="42">
        <f t="shared" si="12"/>
        <v>46348</v>
      </c>
      <c r="R51" s="34"/>
      <c r="S51" s="23">
        <f>IF(Y50="","",IF(MONTH(Y50+1)&lt;&gt;MONTH(Y50),"",Y50+1))</f>
        <v>46377</v>
      </c>
      <c r="T51" s="23">
        <f t="shared" si="13"/>
        <v>46378</v>
      </c>
      <c r="U51" s="23">
        <f t="shared" si="13"/>
        <v>46379</v>
      </c>
      <c r="V51" s="23">
        <f t="shared" si="13"/>
        <v>46380</v>
      </c>
      <c r="W51" s="42">
        <f t="shared" si="13"/>
        <v>46381</v>
      </c>
      <c r="X51" s="42">
        <f t="shared" si="13"/>
        <v>46382</v>
      </c>
      <c r="Y51" s="42">
        <f t="shared" si="13"/>
        <v>46383</v>
      </c>
      <c r="Z51" s="24"/>
    </row>
    <row r="52" spans="2:26" ht="19" customHeight="1">
      <c r="B52" s="33"/>
      <c r="C52" s="23">
        <f>IF(I51="","",IF(MONTH(I51+1)&lt;&gt;MONTH(I51),"",I51+1))</f>
        <v>46321</v>
      </c>
      <c r="D52" s="23">
        <f t="shared" si="11"/>
        <v>46322</v>
      </c>
      <c r="E52" s="23">
        <f t="shared" si="11"/>
        <v>46323</v>
      </c>
      <c r="F52" s="23">
        <f t="shared" si="11"/>
        <v>46324</v>
      </c>
      <c r="G52" s="23">
        <f t="shared" si="11"/>
        <v>46325</v>
      </c>
      <c r="H52" s="42">
        <f t="shared" si="11"/>
        <v>46326</v>
      </c>
      <c r="I52" s="23" t="str">
        <f t="shared" si="11"/>
        <v/>
      </c>
      <c r="J52" s="34"/>
      <c r="K52" s="23">
        <f>IF(Q51="","",IF(MONTH(Q51+1)&lt;&gt;MONTH(Q51),"",Q51+1))</f>
        <v>46349</v>
      </c>
      <c r="L52" s="23">
        <f t="shared" si="12"/>
        <v>46350</v>
      </c>
      <c r="M52" s="23">
        <f t="shared" si="12"/>
        <v>46351</v>
      </c>
      <c r="N52" s="23">
        <f t="shared" si="12"/>
        <v>46352</v>
      </c>
      <c r="O52" s="23">
        <f t="shared" si="12"/>
        <v>46353</v>
      </c>
      <c r="P52" s="42">
        <f t="shared" si="12"/>
        <v>46354</v>
      </c>
      <c r="Q52" s="42">
        <f t="shared" si="12"/>
        <v>46355</v>
      </c>
      <c r="R52" s="34"/>
      <c r="S52" s="23">
        <f>IF(Y51="","",IF(MONTH(Y51+1)&lt;&gt;MONTH(Y51),"",Y51+1))</f>
        <v>46384</v>
      </c>
      <c r="T52" s="23">
        <f t="shared" si="13"/>
        <v>46385</v>
      </c>
      <c r="U52" s="23">
        <f t="shared" si="13"/>
        <v>46386</v>
      </c>
      <c r="V52" s="23">
        <f t="shared" si="13"/>
        <v>46387</v>
      </c>
      <c r="W52" s="23" t="str">
        <f t="shared" si="13"/>
        <v/>
      </c>
      <c r="X52" s="23" t="str">
        <f t="shared" si="13"/>
        <v/>
      </c>
      <c r="Y52" s="23" t="str">
        <f t="shared" si="13"/>
        <v/>
      </c>
      <c r="Z52" s="24"/>
    </row>
    <row r="53" spans="2:26" ht="19" customHeight="1">
      <c r="B53" s="33"/>
      <c r="C53" s="23" t="str">
        <f>IF(I52="","",IF(MONTH(I52+1)&lt;&gt;MONTH(I52),"",I52+1))</f>
        <v/>
      </c>
      <c r="D53" s="23" t="str">
        <f t="shared" si="11"/>
        <v/>
      </c>
      <c r="E53" s="23" t="str">
        <f t="shared" si="11"/>
        <v/>
      </c>
      <c r="F53" s="23" t="str">
        <f t="shared" si="11"/>
        <v/>
      </c>
      <c r="G53" s="23" t="str">
        <f t="shared" si="11"/>
        <v/>
      </c>
      <c r="H53" s="23" t="str">
        <f t="shared" si="11"/>
        <v/>
      </c>
      <c r="I53" s="23" t="str">
        <f t="shared" si="11"/>
        <v/>
      </c>
      <c r="J53" s="34"/>
      <c r="K53" s="23">
        <f>IF(Q52="","",IF(MONTH(Q52+1)&lt;&gt;MONTH(Q52),"",Q52+1))</f>
        <v>46356</v>
      </c>
      <c r="L53" s="23" t="str">
        <f t="shared" si="12"/>
        <v/>
      </c>
      <c r="M53" s="23" t="str">
        <f t="shared" si="12"/>
        <v/>
      </c>
      <c r="N53" s="23" t="str">
        <f t="shared" si="12"/>
        <v/>
      </c>
      <c r="O53" s="23" t="str">
        <f t="shared" si="12"/>
        <v/>
      </c>
      <c r="P53" s="23" t="str">
        <f t="shared" si="12"/>
        <v/>
      </c>
      <c r="Q53" s="23" t="str">
        <f t="shared" si="12"/>
        <v/>
      </c>
      <c r="R53" s="34"/>
      <c r="S53" s="23" t="str">
        <f>IF(Y52="","",IF(MONTH(Y52+1)&lt;&gt;MONTH(Y52),"",Y52+1))</f>
        <v/>
      </c>
      <c r="T53" s="23" t="str">
        <f t="shared" si="13"/>
        <v/>
      </c>
      <c r="U53" s="23" t="str">
        <f t="shared" si="13"/>
        <v/>
      </c>
      <c r="V53" s="23" t="str">
        <f t="shared" si="13"/>
        <v/>
      </c>
      <c r="W53" s="23" t="str">
        <f t="shared" si="13"/>
        <v/>
      </c>
      <c r="X53" s="23" t="str">
        <f t="shared" si="13"/>
        <v/>
      </c>
      <c r="Y53" s="23" t="str">
        <f t="shared" si="13"/>
        <v/>
      </c>
      <c r="Z53" s="24"/>
    </row>
    <row r="54" spans="2:26" s="24" customFormat="1" ht="18" customHeight="1" thickBot="1"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</row>
    <row r="55" spans="2:26" s="24" customFormat="1" ht="18" customHeight="1" thickBot="1">
      <c r="C55" s="203" t="s">
        <v>89</v>
      </c>
      <c r="D55" s="165"/>
      <c r="E55" s="165"/>
      <c r="F55" s="165"/>
      <c r="G55" s="185"/>
      <c r="H55" s="43">
        <f t="array" aca="1" ref="H55" ca="1">COUNT(C48:I53)-CONTARCOLOR(H56,C48:I53)</f>
        <v>20</v>
      </c>
      <c r="I55" s="41"/>
      <c r="J55" s="34"/>
      <c r="K55" s="203" t="s">
        <v>89</v>
      </c>
      <c r="L55" s="165"/>
      <c r="M55" s="165"/>
      <c r="N55" s="165"/>
      <c r="O55" s="185"/>
      <c r="P55" s="43">
        <f t="array" aca="1" ref="P55" ca="1">COUNT(K48:Q53)-CONTARCOLOR(P56,K48:Q53)</f>
        <v>21</v>
      </c>
      <c r="Q55" s="41"/>
      <c r="R55" s="34"/>
      <c r="S55" s="203" t="s">
        <v>89</v>
      </c>
      <c r="T55" s="165"/>
      <c r="U55" s="165"/>
      <c r="V55" s="165"/>
      <c r="W55" s="185"/>
      <c r="X55" s="43">
        <f t="array" aca="1" ref="X55" ca="1">COUNT(S48:Y53)-CONTARCOLOR(X56,S48:Y53)</f>
        <v>21</v>
      </c>
      <c r="Y55" s="25"/>
    </row>
    <row r="56" spans="2:26" s="24" customFormat="1" ht="18" customHeight="1">
      <c r="C56" s="25"/>
      <c r="D56" s="25"/>
      <c r="E56" s="25"/>
      <c r="F56" s="25"/>
      <c r="G56" s="25"/>
      <c r="H56" s="44"/>
      <c r="I56" s="25"/>
      <c r="J56" s="25"/>
      <c r="K56" s="25"/>
      <c r="L56" s="25"/>
      <c r="M56" s="25"/>
      <c r="N56" s="25"/>
      <c r="O56" s="25"/>
      <c r="P56" s="44"/>
      <c r="Q56" s="25"/>
      <c r="R56" s="25"/>
      <c r="S56" s="25"/>
      <c r="T56" s="25"/>
      <c r="U56" s="25"/>
      <c r="V56" s="25"/>
      <c r="W56" s="25"/>
      <c r="X56" s="44"/>
      <c r="Y56" s="25"/>
    </row>
    <row r="57" spans="2:26" s="24" customFormat="1" ht="18" customHeight="1"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</row>
    <row r="58" spans="2:26" s="33" customFormat="1" ht="21" customHeight="1">
      <c r="R58" s="40"/>
    </row>
    <row r="59" spans="2:26" s="34" customFormat="1" ht="16.5" customHeight="1"/>
    <row r="60" spans="2:26" s="35" customFormat="1" ht="18" customHeight="1">
      <c r="R60" s="34"/>
    </row>
    <row r="61" spans="2:26" s="35" customFormat="1" ht="18" customHeight="1">
      <c r="R61" s="34"/>
    </row>
    <row r="62" spans="2:26" s="35" customFormat="1" ht="18" customHeight="1">
      <c r="R62" s="34"/>
    </row>
    <row r="63" spans="2:26" s="35" customFormat="1" ht="18" customHeight="1">
      <c r="R63" s="34"/>
    </row>
    <row r="64" spans="2:26" s="35" customFormat="1" ht="18" customHeight="1">
      <c r="R64" s="34"/>
    </row>
    <row r="65" spans="3:25" s="35" customFormat="1" ht="18" customHeight="1">
      <c r="R65" s="34"/>
    </row>
    <row r="66" spans="3:25" s="24" customFormat="1" ht="18" customHeight="1"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</row>
    <row r="67" spans="3:25" s="33" customFormat="1" ht="21" customHeight="1">
      <c r="J67" s="40"/>
    </row>
    <row r="68" spans="3:25" s="34" customFormat="1" ht="16.5" customHeight="1"/>
    <row r="69" spans="3:25" s="35" customFormat="1" ht="18" customHeight="1">
      <c r="J69" s="34"/>
    </row>
    <row r="70" spans="3:25" s="35" customFormat="1" ht="18" customHeight="1">
      <c r="J70" s="34"/>
    </row>
    <row r="71" spans="3:25" s="35" customFormat="1" ht="18" customHeight="1">
      <c r="J71" s="34"/>
    </row>
    <row r="72" spans="3:25" s="35" customFormat="1" ht="18" customHeight="1">
      <c r="J72" s="34"/>
    </row>
    <row r="73" spans="3:25" s="35" customFormat="1" ht="18" customHeight="1">
      <c r="J73" s="34"/>
    </row>
    <row r="74" spans="3:25" s="35" customFormat="1" ht="18" customHeight="1">
      <c r="J74" s="34"/>
    </row>
    <row r="75" spans="3:25" s="24" customFormat="1"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</row>
    <row r="76" spans="3:25" s="24" customFormat="1">
      <c r="J76" s="25"/>
      <c r="R76" s="25"/>
    </row>
    <row r="77" spans="3:25" s="25" customFormat="1" ht="15" customHeight="1"/>
    <row r="78" spans="3:25" s="24" customFormat="1" ht="13.5" customHeight="1">
      <c r="J78" s="25"/>
      <c r="R78" s="25"/>
    </row>
    <row r="79" spans="3:25" s="24" customFormat="1" ht="13.5" customHeight="1">
      <c r="J79" s="25"/>
      <c r="R79" s="25"/>
    </row>
    <row r="80" spans="3:25" s="24" customFormat="1" ht="13.5" customHeight="1">
      <c r="J80" s="25"/>
      <c r="R80" s="25"/>
    </row>
    <row r="81" spans="10:18" s="24" customFormat="1" ht="13.5" customHeight="1">
      <c r="J81" s="25"/>
      <c r="R81" s="25"/>
    </row>
    <row r="82" spans="10:18" s="24" customFormat="1" ht="13.5" customHeight="1">
      <c r="J82" s="25"/>
      <c r="R82" s="25"/>
    </row>
    <row r="83" spans="10:18" s="24" customFormat="1" ht="13.5" customHeight="1">
      <c r="J83" s="25"/>
      <c r="R83" s="25"/>
    </row>
    <row r="84" spans="10:18" s="24" customFormat="1"/>
    <row r="85" spans="10:18" s="24" customFormat="1"/>
    <row r="86" spans="10:18" s="24" customFormat="1"/>
    <row r="87" spans="10:18" s="24" customFormat="1"/>
    <row r="88" spans="10:18" s="24" customFormat="1"/>
    <row r="89" spans="10:18" s="24" customFormat="1"/>
    <row r="90" spans="10:18" s="24" customFormat="1"/>
    <row r="91" spans="10:18" s="24" customFormat="1"/>
    <row r="92" spans="10:18" s="24" customFormat="1"/>
    <row r="93" spans="10:18" s="24" customFormat="1"/>
    <row r="94" spans="10:18" s="24" customFormat="1"/>
    <row r="95" spans="10:18" s="24" customFormat="1"/>
    <row r="96" spans="10:18" s="24" customFormat="1"/>
    <row r="97" spans="18:18" s="24" customFormat="1"/>
    <row r="98" spans="18:18" s="24" customFormat="1"/>
    <row r="99" spans="18:18" s="24" customFormat="1"/>
    <row r="100" spans="18:18">
      <c r="R100" s="24"/>
    </row>
  </sheetData>
  <mergeCells count="31">
    <mergeCell ref="C46:I46"/>
    <mergeCell ref="P5:Q5"/>
    <mergeCell ref="C11:I11"/>
    <mergeCell ref="K55:O55"/>
    <mergeCell ref="K20:O20"/>
    <mergeCell ref="C20:G20"/>
    <mergeCell ref="C34:I34"/>
    <mergeCell ref="C55:G55"/>
    <mergeCell ref="K34:Q34"/>
    <mergeCell ref="C31:G31"/>
    <mergeCell ref="K31:O31"/>
    <mergeCell ref="C23:I23"/>
    <mergeCell ref="K23:Q23"/>
    <mergeCell ref="K5:L5"/>
    <mergeCell ref="B3:Z3"/>
    <mergeCell ref="C9:Y9"/>
    <mergeCell ref="C43:G43"/>
    <mergeCell ref="K43:O43"/>
    <mergeCell ref="E5:G5"/>
    <mergeCell ref="C8:Y8"/>
    <mergeCell ref="S31:W31"/>
    <mergeCell ref="S43:W43"/>
    <mergeCell ref="AB12:AB17"/>
    <mergeCell ref="K11:Q11"/>
    <mergeCell ref="S11:Y11"/>
    <mergeCell ref="S23:Y23"/>
    <mergeCell ref="S55:W55"/>
    <mergeCell ref="K46:Q46"/>
    <mergeCell ref="S20:W20"/>
    <mergeCell ref="S34:Y34"/>
    <mergeCell ref="S46:Y46"/>
  </mergeCells>
  <conditionalFormatting sqref="C13:I19 C20 C21:I21 C25:I30 C32:I32 C36:I42 C44:I44 C48:I53 H20:I20 K13:Q19 K21:Q21 K25:Q30 K32:Q32 K36:Q42 K44:Q44 K48:Q53 Q20 S13:Y19 S21:Y21 S25:Y30 S32:Y32 S36:Y42 S44:Y44 S48:Y53 Y20 Y31 Y43">
    <cfRule type="expression" dxfId="27" priority="16">
      <formula>OR(WEEKDAY(C13,1)=1,WEEKDAY(C13,1)=7)</formula>
    </cfRule>
  </conditionalFormatting>
  <conditionalFormatting sqref="C11">
    <cfRule type="expression" dxfId="26" priority="28">
      <formula>$K$5=1</formula>
    </cfRule>
  </conditionalFormatting>
  <conditionalFormatting sqref="K11">
    <cfRule type="expression" dxfId="25" priority="27">
      <formula>$K$5=1</formula>
    </cfRule>
  </conditionalFormatting>
  <conditionalFormatting sqref="S11">
    <cfRule type="expression" dxfId="24" priority="26">
      <formula>$K$5=1</formula>
    </cfRule>
  </conditionalFormatting>
  <conditionalFormatting sqref="C23">
    <cfRule type="expression" dxfId="23" priority="25">
      <formula>$K$5=1</formula>
    </cfRule>
  </conditionalFormatting>
  <conditionalFormatting sqref="K23">
    <cfRule type="expression" dxfId="22" priority="24">
      <formula>$K$5=1</formula>
    </cfRule>
  </conditionalFormatting>
  <conditionalFormatting sqref="S23">
    <cfRule type="expression" dxfId="21" priority="23">
      <formula>$K$5=1</formula>
    </cfRule>
  </conditionalFormatting>
  <conditionalFormatting sqref="C34">
    <cfRule type="expression" dxfId="20" priority="22">
      <formula>$K$5=1</formula>
    </cfRule>
  </conditionalFormatting>
  <conditionalFormatting sqref="K34">
    <cfRule type="expression" dxfId="19" priority="21">
      <formula>$K$5=1</formula>
    </cfRule>
  </conditionalFormatting>
  <conditionalFormatting sqref="S34">
    <cfRule type="expression" dxfId="18" priority="20">
      <formula>$K$5=1</formula>
    </cfRule>
  </conditionalFormatting>
  <conditionalFormatting sqref="C46">
    <cfRule type="expression" dxfId="17" priority="19">
      <formula>$K$5=1</formula>
    </cfRule>
  </conditionalFormatting>
  <conditionalFormatting sqref="K46">
    <cfRule type="expression" dxfId="16" priority="18">
      <formula>$K$5=1</formula>
    </cfRule>
  </conditionalFormatting>
  <conditionalFormatting sqref="S46">
    <cfRule type="expression" dxfId="15" priority="17">
      <formula>$K$5=1</formula>
    </cfRule>
  </conditionalFormatting>
  <conditionalFormatting sqref="K20">
    <cfRule type="expression" dxfId="14" priority="15">
      <formula>OR(WEEKDAY(K20,1)=1,WEEKDAY(K20,1)=7)</formula>
    </cfRule>
  </conditionalFormatting>
  <conditionalFormatting sqref="S20 X20">
    <cfRule type="expression" dxfId="13" priority="14">
      <formula>OR(WEEKDAY(S20,1)=1,WEEKDAY(S20,1)=7)</formula>
    </cfRule>
  </conditionalFormatting>
  <conditionalFormatting sqref="C31 H31:I31 Q31">
    <cfRule type="expression" dxfId="12" priority="13">
      <formula>OR(WEEKDAY(C31,1)=1,WEEKDAY(C31,1)=7)</formula>
    </cfRule>
  </conditionalFormatting>
  <conditionalFormatting sqref="K31 P31">
    <cfRule type="expression" dxfId="11" priority="12">
      <formula>OR(WEEKDAY(K31,1)=1,WEEKDAY(K31,1)=7)</formula>
    </cfRule>
  </conditionalFormatting>
  <conditionalFormatting sqref="S31 X31">
    <cfRule type="expression" dxfId="10" priority="11">
      <formula>OR(WEEKDAY(S31,1)=1,WEEKDAY(S31,1)=7)</formula>
    </cfRule>
  </conditionalFormatting>
  <conditionalFormatting sqref="C43 H43:I43 Q43">
    <cfRule type="expression" dxfId="9" priority="10">
      <formula>OR(WEEKDAY(C43,1)=1,WEEKDAY(C43,1)=7)</formula>
    </cfRule>
  </conditionalFormatting>
  <conditionalFormatting sqref="K43 P43">
    <cfRule type="expression" dxfId="8" priority="9">
      <formula>OR(WEEKDAY(K43,1)=1,WEEKDAY(K43,1)=7)</formula>
    </cfRule>
  </conditionalFormatting>
  <conditionalFormatting sqref="S43 X43">
    <cfRule type="expression" dxfId="7" priority="8">
      <formula>OR(WEEKDAY(S43,1)=1,WEEKDAY(S43,1)=7)</formula>
    </cfRule>
  </conditionalFormatting>
  <conditionalFormatting sqref="C55 I55 Q55">
    <cfRule type="expression" dxfId="6" priority="7">
      <formula>OR(WEEKDAY(C55,1)=1,WEEKDAY(C55,1)=7)</formula>
    </cfRule>
  </conditionalFormatting>
  <conditionalFormatting sqref="K55">
    <cfRule type="expression" dxfId="5" priority="6">
      <formula>OR(WEEKDAY(K55,1)=1,WEEKDAY(K55,1)=7)</formula>
    </cfRule>
  </conditionalFormatting>
  <conditionalFormatting sqref="S55">
    <cfRule type="expression" dxfId="4" priority="5">
      <formula>OR(WEEKDAY(S55,1)=1,WEEKDAY(S55,1)=7)</formula>
    </cfRule>
  </conditionalFormatting>
  <conditionalFormatting sqref="P20">
    <cfRule type="expression" dxfId="3" priority="4">
      <formula>OR(WEEKDAY(P20,1)=1,WEEKDAY(P20,1)=7)</formula>
    </cfRule>
  </conditionalFormatting>
  <conditionalFormatting sqref="H55">
    <cfRule type="expression" dxfId="2" priority="3">
      <formula>OR(WEEKDAY(H55,1)=1,WEEKDAY(H55,1)=7)</formula>
    </cfRule>
  </conditionalFormatting>
  <conditionalFormatting sqref="P55">
    <cfRule type="expression" dxfId="1" priority="2">
      <formula>OR(WEEKDAY(P55,1)=1,WEEKDAY(P55,1)=7)</formula>
    </cfRule>
  </conditionalFormatting>
  <conditionalFormatting sqref="X55">
    <cfRule type="expression" dxfId="0" priority="1">
      <formula>OR(WEEKDAY(X55,1)=1,WEEKDAY(X55,1)=7)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Panel Costes Laborales</vt:lpstr>
      <vt:lpstr>Costes_26</vt:lpstr>
      <vt:lpstr>Costes Netos_26</vt:lpstr>
      <vt:lpstr>Base cotización por meses</vt:lpstr>
      <vt:lpstr>Calendario Laboral 2026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Rojas Monfort</dc:creator>
  <cp:lastModifiedBy>Iván Rojas</cp:lastModifiedBy>
  <dcterms:created xsi:type="dcterms:W3CDTF">2023-08-16T07:36:47Z</dcterms:created>
  <dcterms:modified xsi:type="dcterms:W3CDTF">2026-06-06T08:58:32Z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